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2.xml" ContentType="application/vnd.openxmlformats-officedocument.drawing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omments1.xml" ContentType="application/vnd.openxmlformats-officedocument.spreadsheetml.comments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eu Drive\"/>
    </mc:Choice>
  </mc:AlternateContent>
  <xr:revisionPtr revIDLastSave="0" documentId="13_ncr:1_{E278FB55-25AD-4815-972C-FF44169821CF}" xr6:coauthVersionLast="47" xr6:coauthVersionMax="47" xr10:uidLastSave="{00000000-0000-0000-0000-000000000000}"/>
  <bookViews>
    <workbookView xWindow="-28920" yWindow="-120" windowWidth="29040" windowHeight="15720" xr2:uid="{223FCB8A-F39E-48E4-8FC4-F4EB92CDE00D}"/>
  </bookViews>
  <sheets>
    <sheet name="INÍCIO" sheetId="4" r:id="rId1"/>
    <sheet name="MP" sheetId="1" r:id="rId2"/>
    <sheet name="ITAÚ" sheetId="3" r:id="rId3"/>
    <sheet name="ENTRADAS" sheetId="7" r:id="rId4"/>
    <sheet name="SAÍDA" sheetId="9" r:id="rId5"/>
    <sheet name="INVESTIMENTO" sheetId="12" r:id="rId6"/>
    <sheet name="Contas Casa" sheetId="15" r:id="rId7"/>
    <sheet name="DEVEM" sheetId="10" r:id="rId8"/>
    <sheet name="DEVO" sheetId="11" r:id="rId9"/>
    <sheet name="Focus" sheetId="14" r:id="rId10"/>
    <sheet name="ANOTAÇÕES" sheetId="13" r:id="rId11"/>
    <sheet name="Paraguai" sheetId="17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9" i="15" l="1"/>
  <c r="G9" i="15"/>
  <c r="J8" i="15"/>
  <c r="H9" i="15"/>
  <c r="E23" i="17"/>
  <c r="H8" i="15"/>
  <c r="J7" i="15"/>
  <c r="E14" i="17"/>
  <c r="E27" i="17"/>
  <c r="G8" i="15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J18" i="12"/>
  <c r="AJ19" i="12"/>
  <c r="P7" i="15"/>
  <c r="G7" i="15"/>
  <c r="E15" i="17"/>
  <c r="J6" i="15"/>
  <c r="N6" i="15"/>
  <c r="G6" i="15" s="1"/>
  <c r="P4" i="15"/>
  <c r="P5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H5" i="15"/>
  <c r="G5" i="15"/>
  <c r="E8" i="17"/>
  <c r="G58" i="14"/>
  <c r="E25" i="17"/>
  <c r="B7" i="17"/>
  <c r="B9" i="17"/>
  <c r="B4" i="17"/>
  <c r="O9" i="17"/>
  <c r="Q9" i="17" s="1"/>
  <c r="O11" i="17"/>
  <c r="Q11" i="17" s="1"/>
  <c r="L11" i="17"/>
  <c r="O12" i="17"/>
  <c r="Q12" i="17" s="1"/>
  <c r="O21" i="17"/>
  <c r="P21" i="17" s="1"/>
  <c r="L21" i="17"/>
  <c r="O19" i="17"/>
  <c r="Q19" i="17" s="1"/>
  <c r="L19" i="17"/>
  <c r="O18" i="17"/>
  <c r="Q18" i="17" s="1"/>
  <c r="L18" i="17"/>
  <c r="O20" i="17"/>
  <c r="P20" i="17" s="1"/>
  <c r="L20" i="17"/>
  <c r="O17" i="17"/>
  <c r="P17" i="17" s="1"/>
  <c r="L17" i="17"/>
  <c r="O16" i="17"/>
  <c r="P16" i="17" s="1"/>
  <c r="L16" i="17"/>
  <c r="M22" i="17" s="1"/>
  <c r="Q5" i="17"/>
  <c r="N8" i="17"/>
  <c r="O8" i="17" s="1"/>
  <c r="P8" i="17" s="1"/>
  <c r="L8" i="17"/>
  <c r="N4" i="17"/>
  <c r="O4" i="17" s="1"/>
  <c r="P4" i="17" s="1"/>
  <c r="L4" i="17"/>
  <c r="L24" i="17"/>
  <c r="L12" i="17"/>
  <c r="L9" i="17"/>
  <c r="L10" i="17"/>
  <c r="L23" i="17"/>
  <c r="L15" i="17"/>
  <c r="N13" i="17"/>
  <c r="L101" i="7"/>
  <c r="C474" i="9"/>
  <c r="E474" i="9"/>
  <c r="G4" i="15"/>
  <c r="J11" i="7"/>
  <c r="P8" i="15" l="1"/>
  <c r="E29" i="17"/>
  <c r="H7" i="15"/>
  <c r="P6" i="15"/>
  <c r="E16" i="17"/>
  <c r="H6" i="15"/>
  <c r="B10" i="17"/>
  <c r="P12" i="17"/>
  <c r="P11" i="17"/>
  <c r="P9" i="17"/>
  <c r="P18" i="17"/>
  <c r="Q21" i="17"/>
  <c r="P19" i="17"/>
  <c r="Q20" i="17"/>
  <c r="Q16" i="17"/>
  <c r="Q17" i="17"/>
  <c r="Q4" i="17"/>
  <c r="N22" i="17"/>
  <c r="Q8" i="17"/>
  <c r="L13" i="17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E4" i="9"/>
  <c r="B442" i="9"/>
  <c r="B443" i="9"/>
  <c r="B444" i="9"/>
  <c r="B445" i="9"/>
  <c r="B446" i="9"/>
  <c r="B447" i="9"/>
  <c r="B448" i="9"/>
  <c r="B449" i="9"/>
  <c r="B431" i="9"/>
  <c r="B432" i="9"/>
  <c r="B433" i="9"/>
  <c r="B434" i="9"/>
  <c r="B435" i="9"/>
  <c r="B436" i="9"/>
  <c r="B437" i="9"/>
  <c r="B438" i="9"/>
  <c r="B439" i="9"/>
  <c r="B440" i="9"/>
  <c r="B441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E15" i="12"/>
  <c r="B396" i="9"/>
  <c r="B397" i="9"/>
  <c r="B398" i="9"/>
  <c r="B399" i="9"/>
  <c r="B400" i="9"/>
  <c r="B401" i="9"/>
  <c r="B402" i="9"/>
  <c r="B403" i="9"/>
  <c r="B404" i="9"/>
  <c r="B405" i="9"/>
  <c r="B40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H23" i="13"/>
  <c r="P22" i="17" l="1"/>
  <c r="Q22" i="17"/>
  <c r="H12" i="13"/>
  <c r="H13" i="13"/>
  <c r="H14" i="13"/>
  <c r="H15" i="13" l="1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F101" i="12" l="1"/>
  <c r="E101" i="12"/>
  <c r="D101" i="12"/>
  <c r="B101" i="12"/>
  <c r="B3" i="12"/>
  <c r="H11" i="3"/>
  <c r="J77" i="7"/>
  <c r="J78" i="7"/>
  <c r="J10" i="7"/>
  <c r="H12" i="3"/>
  <c r="B10" i="9"/>
  <c r="M4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H13" i="3" l="1"/>
  <c r="B17" i="3"/>
  <c r="E17" i="3"/>
  <c r="H17" i="3"/>
  <c r="B22" i="3"/>
  <c r="E22" i="3"/>
  <c r="H22" i="3"/>
  <c r="B7" i="3"/>
  <c r="E7" i="3"/>
  <c r="H7" i="3"/>
  <c r="B12" i="3"/>
  <c r="E12" i="3"/>
  <c r="B21" i="3"/>
  <c r="B11" i="1"/>
  <c r="B6" i="1"/>
  <c r="H21" i="1"/>
  <c r="H16" i="1"/>
  <c r="H11" i="1"/>
  <c r="H6" i="1"/>
  <c r="E6" i="1"/>
  <c r="E11" i="1"/>
  <c r="E16" i="1"/>
  <c r="E21" i="1"/>
  <c r="B21" i="1"/>
  <c r="B16" i="1"/>
  <c r="E21" i="3"/>
  <c r="H6" i="3"/>
  <c r="H21" i="3"/>
  <c r="B16" i="3"/>
  <c r="E16" i="3"/>
  <c r="B11" i="3"/>
  <c r="H16" i="3"/>
  <c r="B6" i="3"/>
  <c r="E11" i="3"/>
  <c r="E6" i="3"/>
  <c r="E7" i="1"/>
  <c r="E17" i="1"/>
  <c r="E12" i="1"/>
  <c r="H7" i="1"/>
  <c r="H12" i="1"/>
  <c r="H17" i="1"/>
  <c r="H22" i="1"/>
  <c r="E22" i="1"/>
  <c r="B22" i="1"/>
  <c r="B17" i="1"/>
  <c r="B12" i="1"/>
  <c r="B7" i="1"/>
  <c r="B8" i="3" l="1"/>
  <c r="B18" i="3"/>
  <c r="E18" i="3"/>
  <c r="E8" i="3"/>
  <c r="H18" i="3"/>
  <c r="H23" i="3"/>
  <c r="B23" i="1"/>
  <c r="E23" i="1"/>
  <c r="E8" i="1"/>
  <c r="E18" i="1"/>
  <c r="E13" i="1"/>
  <c r="H8" i="1"/>
  <c r="H13" i="1"/>
  <c r="H18" i="1"/>
  <c r="H23" i="1"/>
  <c r="B8" i="1"/>
  <c r="B13" i="1"/>
  <c r="B18" i="1"/>
  <c r="B13" i="3"/>
  <c r="E23" i="3"/>
  <c r="H8" i="3"/>
  <c r="E13" i="3"/>
  <c r="B23" i="3"/>
  <c r="B3" i="3" l="1"/>
  <c r="C2" i="4" s="1"/>
  <c r="B3" i="1"/>
  <c r="A2" i="4" s="1"/>
  <c r="H8" i="13" l="1"/>
  <c r="H7" i="13"/>
  <c r="H9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tc={B9482F66-BF78-4A0E-875C-61122B0BDBEA}</author>
    <author>tc={3D3D4771-55A3-4291-A8C9-74BEB92DCBCF}</author>
    <author>tc={A82439F9-98D4-403F-B0F5-10D88F438620}</author>
    <author>tc={67057301-04F2-4243-8713-1E6146C45E34}</author>
    <author>tc={F4828E9A-0133-44C1-BF7E-1FA4CFCBD15F}</author>
    <author>tc={073E2EBB-FE20-4184-9A6F-03DC50DE7690}</author>
    <author>tc={AA8C187F-9DDA-42DE-85C8-FE7CE21DCCFE}</author>
    <author>tc={EBE867E4-0526-4030-AA83-86AA5258D00B}</author>
    <author>tc={9B8EC943-12FB-4FB9-B9E3-3D21EF2DD97E}</author>
    <author>tc={72491B30-4B67-4B79-A51D-4CB467FE81ED}</author>
    <author>Rodrigo Escobar Garlipp Dutra Fernandes</author>
  </authors>
  <commentList>
    <comment ref="N5" authorId="0" shapeId="0" xr:uid="{B9482F66-BF78-4A0E-875C-61122B0BDBEA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167,74 - valor muda de ano pra ano</t>
        </r>
      </text>
    </comment>
    <comment ref="R5" authorId="1" shapeId="0" xr:uid="{3D3D4771-55A3-4291-A8C9-74BEB92DCBCF}">
      <text>
        <r>
          <rPr>
            <sz val="11"/>
            <color theme="1"/>
            <rFont val="Calibri"/>
            <family val="2"/>
            <scheme val="minor"/>
          </rPr>
  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Mais detalhes nas anotações. Em resumo, é o dinheiro para mobiliar a casa e dx pronta pra morar
</t>
        </r>
      </text>
    </comment>
    <comment ref="U7" authorId="2" shapeId="0" xr:uid="{A82439F9-98D4-403F-B0F5-10D88F43862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da gasosa, quea isa já tinha pago o dela que era a hopedagem em campos</t>
        </r>
      </text>
    </comment>
    <comment ref="U8" authorId="3" shapeId="0" xr:uid="{67057301-04F2-4243-8713-1E6146C45E34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Isa pagou 73 da parte dela</t>
        </r>
      </text>
    </comment>
    <comment ref="E13" authorId="4" shapeId="0" xr:uid="{F4828E9A-0133-44C1-BF7E-1FA4CFCBD15F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Já havia dinheiro que ganhei com caixas dropadas.</t>
        </r>
      </text>
    </comment>
    <comment ref="U13" authorId="5" shapeId="0" xr:uid="{073E2EBB-FE20-4184-9A6F-03DC50DE769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Nesse mês saiu 960, viagem pa bahia</t>
        </r>
      </text>
    </comment>
    <comment ref="AD13" authorId="6" shapeId="0" xr:uid="{AA8C187F-9DDA-42DE-85C8-FE7CE21DCCFE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300 veio do inves</t>
        </r>
      </text>
    </comment>
    <comment ref="E15" authorId="7" shapeId="0" xr:uid="{EBE867E4-0526-4030-AA83-86AA5258D00B}">
      <text>
        <r>
          <rPr>
            <sz val="11"/>
            <color theme="1"/>
            <rFont val="Calibri"/>
            <family val="2"/>
            <scheme val="minor"/>
          </rPr>
  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Já havia dinheiro que ganhei com caixas dropadas.
</t>
        </r>
      </text>
    </comment>
    <comment ref="U15" authorId="8" shapeId="0" xr:uid="{9B8EC943-12FB-4FB9-B9E3-3D21EF2DD97E}">
      <text>
        <r>
          <rPr>
            <sz val="11"/>
            <color theme="1"/>
            <rFont val="Calibri"/>
            <family val="2"/>
            <scheme val="minor"/>
          </rPr>
  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HOSPEDAGEM </t>
        </r>
      </text>
    </comment>
    <comment ref="Y24" authorId="9" shapeId="0" xr:uid="{72491B30-4B67-4B79-A51D-4CB467FE81ED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Anotar td para o imposto de renda</t>
        </r>
      </text>
    </comment>
    <comment ref="P34" authorId="10" shapeId="0" xr:uid="{963A805E-246F-4D36-9003-E45277A8964C}">
      <text>
        <r>
          <rPr>
            <b/>
            <sz val="9"/>
            <color indexed="81"/>
            <rFont val="Segoe UI"/>
            <family val="2"/>
          </rPr>
          <t>Rodrigo Escobar Garlipp Dutra Fernandes:</t>
        </r>
        <r>
          <rPr>
            <sz val="9"/>
            <color indexed="81"/>
            <rFont val="Segoe UI"/>
            <family val="2"/>
          </rPr>
          <t xml:space="preserve">
Ver quanto realmente falta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tc={16E40688-34A1-4BAB-A655-7208A793E2A0}</author>
  </authors>
  <commentList>
    <comment ref="B2" authorId="0" shapeId="0" xr:uid="{16E40688-34A1-4BAB-A655-7208A793E2A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Manual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tc={D81EFD81-95DC-48DE-8688-A285B911BBD4}</author>
  </authors>
  <commentList>
    <comment ref="K4" authorId="0" shapeId="0" xr:uid="{D81EFD81-95DC-48DE-8688-A285B911BBD4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https://www.mercadolivre.com.br/yongnuo-yn360-127220v-preto-rgb/p/MLB24343596?product_trigger_id=MLB15085327&amp;attributes=STRUCTURE_COLOR%3ALaranja&amp;picker=true&amp;quantity=1</t>
        </r>
      </text>
    </comment>
  </commentList>
</comments>
</file>

<file path=xl/sharedStrings.xml><?xml version="1.0" encoding="utf-8"?>
<sst xmlns="http://schemas.openxmlformats.org/spreadsheetml/2006/main" count="849" uniqueCount="431">
  <si>
    <t>ITAÚ</t>
  </si>
  <si>
    <t>VALOR</t>
  </si>
  <si>
    <t>DATA</t>
  </si>
  <si>
    <t>DESCRIÇÃO</t>
  </si>
  <si>
    <t>ENTRADAS</t>
  </si>
  <si>
    <t>MÊS</t>
  </si>
  <si>
    <t>Total</t>
  </si>
  <si>
    <t>............................</t>
  </si>
  <si>
    <t>...............................................</t>
  </si>
  <si>
    <t>......................</t>
  </si>
  <si>
    <t>.........................</t>
  </si>
  <si>
    <t>QUANTO SAI</t>
  </si>
  <si>
    <t>JULHO</t>
  </si>
  <si>
    <t>AGOSTO</t>
  </si>
  <si>
    <t>01/07/2022 - 31/07/2022</t>
  </si>
  <si>
    <t>HÁ NO SALDO</t>
  </si>
  <si>
    <t>SALDO:</t>
  </si>
  <si>
    <t>01/08/2022 - 30/08/2022</t>
  </si>
  <si>
    <t>SETEMBRO</t>
  </si>
  <si>
    <t>01/09/2022 - 31/09/2022</t>
  </si>
  <si>
    <t>OUTRUBRO</t>
  </si>
  <si>
    <t>NOVEMBRO</t>
  </si>
  <si>
    <t>DEZEMBRO</t>
  </si>
  <si>
    <t>ONDE ENTRA</t>
  </si>
  <si>
    <t>ENTRADA INDIVIDUAL</t>
  </si>
  <si>
    <t>.............................</t>
  </si>
  <si>
    <t>SALDO DO MÊS</t>
  </si>
  <si>
    <t>SAÍDA</t>
  </si>
  <si>
    <t>INÍCIO</t>
  </si>
  <si>
    <t>OUTUBRO</t>
  </si>
  <si>
    <t>Descrição</t>
  </si>
  <si>
    <t>Valor aplicado:</t>
  </si>
  <si>
    <t>INVESTIMENTO</t>
  </si>
  <si>
    <t>Valor Lucrado:</t>
  </si>
  <si>
    <t>Planilha atualizada de
 forma manual, não há
ligação com valores de 
futuras atualizações.</t>
  </si>
  <si>
    <t>CS:</t>
  </si>
  <si>
    <t>ONDE ENTRA:</t>
  </si>
  <si>
    <t>Aumentar Tabelas?</t>
  </si>
  <si>
    <t>ONDE SAIU</t>
  </si>
  <si>
    <t>DEVO</t>
  </si>
  <si>
    <t>DEVEM</t>
  </si>
  <si>
    <t>Devem:</t>
  </si>
  <si>
    <t>Devo:</t>
  </si>
  <si>
    <t>OP caixa Presa Quebrada</t>
  </si>
  <si>
    <t>Capsulas RMR</t>
  </si>
  <si>
    <t>OP Caixa Correnteza</t>
  </si>
  <si>
    <t>Medalha Major CX Lembrança</t>
  </si>
  <si>
    <t>Capsula Major 2021</t>
  </si>
  <si>
    <t>Capsula Major 2022</t>
  </si>
  <si>
    <t>Caixa do Revolver</t>
  </si>
  <si>
    <t>Major 2022</t>
  </si>
  <si>
    <t>Capsula major 2022</t>
  </si>
  <si>
    <t>JANEIRO</t>
  </si>
  <si>
    <t>FEVEREIRO</t>
  </si>
  <si>
    <t>MARÇO</t>
  </si>
  <si>
    <t>JUNHO</t>
  </si>
  <si>
    <t>ABRIL</t>
  </si>
  <si>
    <t>MAIO</t>
  </si>
  <si>
    <t>MP</t>
  </si>
  <si>
    <t>Dara/Mês</t>
  </si>
  <si>
    <t>Bitcoin</t>
  </si>
  <si>
    <t>Viagem</t>
  </si>
  <si>
    <t>WRLD11</t>
  </si>
  <si>
    <t>INTER</t>
  </si>
  <si>
    <t>OP Armory</t>
  </si>
  <si>
    <t>NVDC34</t>
  </si>
  <si>
    <t>Quantidade</t>
  </si>
  <si>
    <t>EuroCoin</t>
  </si>
  <si>
    <t>major china 2024</t>
  </si>
  <si>
    <t>VGHF11</t>
  </si>
  <si>
    <t>JÁ TINHA</t>
  </si>
  <si>
    <t>Licenciamento Focus</t>
  </si>
  <si>
    <t>Rendeu</t>
  </si>
  <si>
    <t>MXRF11</t>
  </si>
  <si>
    <t>BTHF11</t>
  </si>
  <si>
    <t>Valor estimado:</t>
  </si>
  <si>
    <t>Revestimento Volante</t>
  </si>
  <si>
    <t>Estetica</t>
  </si>
  <si>
    <t>Data</t>
  </si>
  <si>
    <t>Valor</t>
  </si>
  <si>
    <t>Coxim inferior do motor</t>
  </si>
  <si>
    <t>Retifica da direção</t>
  </si>
  <si>
    <t>Bucha estabilizadora</t>
  </si>
  <si>
    <t>Bujao carter</t>
  </si>
  <si>
    <t>Junta sobre carter</t>
  </si>
  <si>
    <t>Filtro oleo</t>
  </si>
  <si>
    <t>Velocimetro</t>
  </si>
  <si>
    <t>Óleo motor 133.500km</t>
  </si>
  <si>
    <t>Filtro de cabine</t>
  </si>
  <si>
    <t>Total:</t>
  </si>
  <si>
    <t>MEI</t>
  </si>
  <si>
    <t>Reserva de emergencia pessoal cobre:</t>
  </si>
  <si>
    <t>Carro:</t>
  </si>
  <si>
    <r>
      <t>Celular:</t>
    </r>
    <r>
      <rPr>
        <sz val="11"/>
        <color theme="1"/>
        <rFont val="Calibri"/>
        <family val="2"/>
        <scheme val="minor"/>
      </rPr>
      <t xml:space="preserve"> </t>
    </r>
  </si>
  <si>
    <t>PC:</t>
  </si>
  <si>
    <t>9 meses de Gastos Essenciais:</t>
  </si>
  <si>
    <t>Devem a emergencia:</t>
  </si>
  <si>
    <t>Alinhamento</t>
  </si>
  <si>
    <t>4 Balanciamento</t>
  </si>
  <si>
    <t>2 Cambagem</t>
  </si>
  <si>
    <t>Carga de gas</t>
  </si>
  <si>
    <t>Teste nitrogenio</t>
  </si>
  <si>
    <t>Válcula de alta pressao</t>
  </si>
  <si>
    <t>Óleo Compressor</t>
  </si>
  <si>
    <t>Cabos de vela e velas 134.500km</t>
  </si>
  <si>
    <t>presente</t>
  </si>
  <si>
    <t>Emergências Carro</t>
  </si>
  <si>
    <t>Reseva casa</t>
  </si>
  <si>
    <t>Cesta Inteligente</t>
  </si>
  <si>
    <t>?</t>
  </si>
  <si>
    <t>Barulho ao acelerar</t>
  </si>
  <si>
    <t>Parabrisa trincado</t>
  </si>
  <si>
    <t>Vidro traseiro desembaçador</t>
  </si>
  <si>
    <t>Ideia do patrimoio:</t>
  </si>
  <si>
    <t>Renda fixa</t>
  </si>
  <si>
    <t>Ações e fundos imob</t>
  </si>
  <si>
    <t>Criptos</t>
  </si>
  <si>
    <t>Realidade no momento: %</t>
  </si>
  <si>
    <t>Realidade no momento: $</t>
  </si>
  <si>
    <t>Palheta Traseira</t>
  </si>
  <si>
    <t>Capa de banco</t>
  </si>
  <si>
    <t>Botão porta-malas</t>
  </si>
  <si>
    <t>Bomda de combustivel</t>
  </si>
  <si>
    <t>Filtro de combustivel 135.897km</t>
  </si>
  <si>
    <t>CDI MP</t>
  </si>
  <si>
    <t>Coxim Escapamento</t>
  </si>
  <si>
    <t>Presentes</t>
  </si>
  <si>
    <t>Pastilhas de freio(as duas)</t>
  </si>
  <si>
    <t>Bieletas (as duas)</t>
  </si>
  <si>
    <t>Pneus 185/65R14 Tk tire(uma bosta)</t>
  </si>
  <si>
    <t>Balanceamento traseiro</t>
  </si>
  <si>
    <t>Bicos pneus traseiros</t>
  </si>
  <si>
    <t>Aperto no freio de mao(Ficou uma bosta)</t>
  </si>
  <si>
    <t>Netflix</t>
  </si>
  <si>
    <t>netflix</t>
  </si>
  <si>
    <t>Vazamento Gasolina (aneis de vedação bicos injetores)</t>
  </si>
  <si>
    <t xml:space="preserve">Agua do radiador e mangueira </t>
  </si>
  <si>
    <t>major Austin 2025</t>
  </si>
  <si>
    <t>Saiu da onde</t>
  </si>
  <si>
    <t>Emergencia</t>
  </si>
  <si>
    <t>Pintar roda e pinça</t>
  </si>
  <si>
    <t>H7; Som; Lampadas h5; orings da bomba</t>
  </si>
  <si>
    <t>caneta teste fluido do freio</t>
  </si>
  <si>
    <t>4L de oleo motorcraft 20w50 (troca feita aos 141.712km)</t>
  </si>
  <si>
    <t>Mais 1L de oleo e anel de vedação do parafuso do carter</t>
  </si>
  <si>
    <t>Oleo hidraulico</t>
  </si>
  <si>
    <t>Desengraxante</t>
  </si>
  <si>
    <t>Junta tampa do motor</t>
  </si>
  <si>
    <t>A fazer:</t>
  </si>
  <si>
    <t>Ordem:</t>
  </si>
  <si>
    <t>Manutenção preventivas:</t>
  </si>
  <si>
    <t>Ultima troca:</t>
  </si>
  <si>
    <t>Proxima troca:</t>
  </si>
  <si>
    <t>Data:</t>
  </si>
  <si>
    <t>Filtro de ar do motor 141.712km</t>
  </si>
  <si>
    <t>Filtro de ar do moto:</t>
  </si>
  <si>
    <t>Filtro de Combustivél:</t>
  </si>
  <si>
    <t>Filtro óleo:</t>
  </si>
  <si>
    <t>Óleo Motor:</t>
  </si>
  <si>
    <t xml:space="preserve">Cabos de vela e velas </t>
  </si>
  <si>
    <t>Já</t>
  </si>
  <si>
    <t>Balanciamento</t>
  </si>
  <si>
    <t>Cambagem</t>
  </si>
  <si>
    <t>Pastilhas de freio</t>
  </si>
  <si>
    <t>136.897km</t>
  </si>
  <si>
    <t>186.897km</t>
  </si>
  <si>
    <t>Agua do radiador</t>
  </si>
  <si>
    <t>142.000km</t>
  </si>
  <si>
    <t>202.000km ou 2 a 3 anos</t>
  </si>
  <si>
    <t>Pneus</t>
  </si>
  <si>
    <t>Palhetas</t>
  </si>
  <si>
    <t>Fluido de freio</t>
  </si>
  <si>
    <t>207.897km 2 anos ou</t>
  </si>
  <si>
    <t>145.550km</t>
  </si>
  <si>
    <t>Feitos:</t>
  </si>
  <si>
    <t>Trocar agua do radiador(estourou mangueira)</t>
  </si>
  <si>
    <t>Fluido do freio</t>
  </si>
  <si>
    <t>145.700km</t>
  </si>
  <si>
    <t>175.700km</t>
  </si>
  <si>
    <t>Cinta do airBag</t>
  </si>
  <si>
    <t>Limpar Motor</t>
  </si>
  <si>
    <t>Camera de segurança</t>
  </si>
  <si>
    <t>Fio pós chave</t>
  </si>
  <si>
    <t>Buzinas</t>
  </si>
  <si>
    <t>Valor ~</t>
  </si>
  <si>
    <t>Cilindro mestre da Embreagem</t>
  </si>
  <si>
    <t>Óleo do cambio</t>
  </si>
  <si>
    <t>Dot4 (tentei trocar o cilindro e deu ruim)</t>
  </si>
  <si>
    <t>Batente lado passageiro</t>
  </si>
  <si>
    <t>Terminais de direção</t>
  </si>
  <si>
    <t>Freio de  mão</t>
  </si>
  <si>
    <t>Alinhamento e balanciamento</t>
  </si>
  <si>
    <t>157.400km</t>
  </si>
  <si>
    <t>major budapeste 2025</t>
  </si>
  <si>
    <t>patrimonio</t>
  </si>
  <si>
    <t>Prioridade:</t>
  </si>
  <si>
    <t>Cartoes</t>
  </si>
  <si>
    <t>licenciamento</t>
  </si>
  <si>
    <t>reserva casa</t>
  </si>
  <si>
    <t>reserva carro</t>
  </si>
  <si>
    <t>Lampada do farol lado motorista</t>
  </si>
  <si>
    <t>Soquete da lampada do farol lado motorista</t>
  </si>
  <si>
    <t>Óleo motor</t>
  </si>
  <si>
    <t>Lista de compras:</t>
  </si>
  <si>
    <t>Desejos</t>
  </si>
  <si>
    <t>Casa</t>
  </si>
  <si>
    <t>Investimento</t>
  </si>
  <si>
    <t>Placa de vídeo</t>
  </si>
  <si>
    <t>2.5k</t>
  </si>
  <si>
    <t>Lustres</t>
  </si>
  <si>
    <t>Cadeiras escritório</t>
  </si>
  <si>
    <t>Escrivaninhas</t>
  </si>
  <si>
    <t>Mangueirinha privada</t>
  </si>
  <si>
    <t>1k</t>
  </si>
  <si>
    <t>2k</t>
  </si>
  <si>
    <t>BANCO</t>
  </si>
  <si>
    <t>Venetiladores</t>
  </si>
  <si>
    <t>Extintor</t>
  </si>
  <si>
    <t>mercado casa e pizza</t>
  </si>
  <si>
    <t>gasosa</t>
  </si>
  <si>
    <t>correção</t>
  </si>
  <si>
    <t>MB deve ao patrimonio</t>
  </si>
  <si>
    <t>Guitarra</t>
  </si>
  <si>
    <t>HDMI sem fio</t>
  </si>
  <si>
    <t>PS5</t>
  </si>
  <si>
    <t>2.5K</t>
  </si>
  <si>
    <t>harry potter</t>
  </si>
  <si>
    <t>Internet</t>
  </si>
  <si>
    <t>Gasto livre</t>
  </si>
  <si>
    <t>Luz</t>
  </si>
  <si>
    <t>Gás</t>
  </si>
  <si>
    <t>Condominio</t>
  </si>
  <si>
    <t>Mercado</t>
  </si>
  <si>
    <t>Digo</t>
  </si>
  <si>
    <t>Bella</t>
  </si>
  <si>
    <t>Internet celular cartao MP</t>
  </si>
  <si>
    <t>Seguro Focus cartao MP</t>
  </si>
  <si>
    <t>armario cartao MP</t>
  </si>
  <si>
    <t>Estudonauta cartao mp</t>
  </si>
  <si>
    <t>SAiDAS COMUM</t>
  </si>
  <si>
    <t>Salario janeiro</t>
  </si>
  <si>
    <t>ARMARIO</t>
  </si>
  <si>
    <t>Reserva casa</t>
  </si>
  <si>
    <t>CARRO</t>
  </si>
  <si>
    <t>ANIVERSARIO DE NAMORO</t>
  </si>
  <si>
    <t>PRESENTE</t>
  </si>
  <si>
    <t>VIAGEM</t>
  </si>
  <si>
    <t>GC</t>
  </si>
  <si>
    <t>CARTAOMP</t>
  </si>
  <si>
    <t>INTERNET</t>
  </si>
  <si>
    <t>NETFLIX</t>
  </si>
  <si>
    <t>PATRIMONIO</t>
  </si>
  <si>
    <t>C SABE</t>
  </si>
  <si>
    <t>INGRESSOS AVATAR</t>
  </si>
  <si>
    <t>149.600km</t>
  </si>
  <si>
    <t>159.600km</t>
  </si>
  <si>
    <t>169.600km</t>
  </si>
  <si>
    <t>Correia Motor</t>
  </si>
  <si>
    <t>Correia utilitária</t>
  </si>
  <si>
    <t>163.000km</t>
  </si>
  <si>
    <t>sla</t>
  </si>
  <si>
    <t>americanas</t>
  </si>
  <si>
    <t>Estacionamento</t>
  </si>
  <si>
    <t>milk moo</t>
  </si>
  <si>
    <t>gasosa mogi</t>
  </si>
  <si>
    <t xml:space="preserve"> </t>
  </si>
  <si>
    <t>Contas casa</t>
  </si>
  <si>
    <t>Comida mogi</t>
  </si>
  <si>
    <t>N sei, deve ser gasosa</t>
  </si>
  <si>
    <t>farmacia</t>
  </si>
  <si>
    <t>Custo da viagem:</t>
  </si>
  <si>
    <t>Gasolina</t>
  </si>
  <si>
    <t>Pedágio</t>
  </si>
  <si>
    <t>Hospedagem</t>
  </si>
  <si>
    <t>Comida</t>
  </si>
  <si>
    <t>Valor:</t>
  </si>
  <si>
    <t>Produtos:</t>
  </si>
  <si>
    <t>PREÇO DO DOL AGORA:</t>
  </si>
  <si>
    <t>No Paraguai</t>
  </si>
  <si>
    <t>SSD Sandisk 1TB</t>
  </si>
  <si>
    <t>SSD Sandisk 512GB</t>
  </si>
  <si>
    <t>Patrimonio MP</t>
  </si>
  <si>
    <t>Ti</t>
  </si>
  <si>
    <t>Avulso</t>
  </si>
  <si>
    <t>Oq eu quero:</t>
  </si>
  <si>
    <t>Cadeira escritorio?</t>
  </si>
  <si>
    <t>óculos</t>
  </si>
  <si>
    <t>extratora</t>
  </si>
  <si>
    <t>prancha?</t>
  </si>
  <si>
    <t>Elevador de carro</t>
  </si>
  <si>
    <t>Lucro do comprador:</t>
  </si>
  <si>
    <t>Impressora 3D Bambu Lab A1 multi color</t>
  </si>
  <si>
    <t>50 + de proventos</t>
  </si>
  <si>
    <t>Toro</t>
  </si>
  <si>
    <t xml:space="preserve"> 1 + real por dia de 03/02</t>
  </si>
  <si>
    <t>2,5 real + por dia de 05/02</t>
  </si>
  <si>
    <t>Paga fev</t>
  </si>
  <si>
    <t>Cartao MP</t>
  </si>
  <si>
    <t>Reserva carro</t>
  </si>
  <si>
    <t>Gc</t>
  </si>
  <si>
    <t>Patrimonio</t>
  </si>
  <si>
    <t>Multa Tim</t>
  </si>
  <si>
    <t>Oq eu quiser, a decidir</t>
  </si>
  <si>
    <t>Mãe</t>
  </si>
  <si>
    <t xml:space="preserve">Celular </t>
  </si>
  <si>
    <t>Eu</t>
  </si>
  <si>
    <t>Mini lâmpada LED magnética Yongnuo Yn360 Rgb com estrutura pret</t>
  </si>
  <si>
    <t>Iphone</t>
  </si>
  <si>
    <t>TV 50 ou 55</t>
  </si>
  <si>
    <t>Loja:</t>
  </si>
  <si>
    <t>ProDigital</t>
  </si>
  <si>
    <t>Encomendas:</t>
  </si>
  <si>
    <t>Voltar a mais</t>
  </si>
  <si>
    <t>Quem</t>
  </si>
  <si>
    <t>Valor ML</t>
  </si>
  <si>
    <t>Real &gt; DOL</t>
  </si>
  <si>
    <t>Paraguai &gt; Real</t>
  </si>
  <si>
    <t>Meu Lucro</t>
  </si>
  <si>
    <t>Preço final</t>
  </si>
  <si>
    <t>Hmaburguers</t>
  </si>
  <si>
    <t>Agua cine</t>
  </si>
  <si>
    <t>Almoço skinao</t>
  </si>
  <si>
    <t>Gasosa</t>
  </si>
  <si>
    <t>pao</t>
  </si>
  <si>
    <t>Switch Tp-link Tl-sg1048 Preto</t>
  </si>
  <si>
    <t>Nissei</t>
  </si>
  <si>
    <t>Xiaome</t>
  </si>
  <si>
    <t>Ana p</t>
  </si>
  <si>
    <t>Perfume Calvin Klein Eternity Eau de Parfum Feminino 100ML</t>
  </si>
  <si>
    <t>Fone de Ouvido QCY ArcBuds Bluetooth</t>
  </si>
  <si>
    <t>No break</t>
  </si>
  <si>
    <t>Mercado hj</t>
  </si>
  <si>
    <t>alguma coisa</t>
  </si>
  <si>
    <t>Alto Falante Pioneer TS-A6988S 6.9" 700W</t>
  </si>
  <si>
    <t>Felps</t>
  </si>
  <si>
    <t>DVD Player Automotivo Pioneer AVH-Z7250BT 7.0" USB / Bluetooth</t>
  </si>
  <si>
    <t>Alto Falante Pioneer TS-A1688S 6.5" 350W</t>
  </si>
  <si>
    <t>Irmao felps</t>
  </si>
  <si>
    <t>Xiaomi 15T 5G Dual 512 GB - Black</t>
  </si>
  <si>
    <t>Guitarra Ibanez GRX70QAL TRB p/Zurdo</t>
  </si>
  <si>
    <t>Mini Amplificador de Guitarra Orange Crush Mini Naranja</t>
  </si>
  <si>
    <t>Melody</t>
  </si>
  <si>
    <t>Shoppinh China</t>
  </si>
  <si>
    <t>US$</t>
  </si>
  <si>
    <t>Camera de carro z40</t>
  </si>
  <si>
    <t>memoria ram 16gb ddr4 pc</t>
  </si>
  <si>
    <t>Chiclete estrada ida</t>
  </si>
  <si>
    <t>Sobrou em nota:</t>
  </si>
  <si>
    <t>Voltou:</t>
  </si>
  <si>
    <t>Voltou a mais</t>
  </si>
  <si>
    <t>Felipe deve:</t>
  </si>
  <si>
    <t>Ti deve:</t>
  </si>
  <si>
    <t>Devem total:</t>
  </si>
  <si>
    <t>Impressora:</t>
  </si>
  <si>
    <t>Multimidia</t>
  </si>
  <si>
    <t>Tirzas</t>
  </si>
  <si>
    <t>Falta para devolver:</t>
  </si>
  <si>
    <t>Moteis</t>
  </si>
  <si>
    <t>Seguro</t>
  </si>
  <si>
    <t>Alfajor</t>
  </si>
  <si>
    <t>Tirei de:</t>
  </si>
  <si>
    <t>Lucro:</t>
  </si>
  <si>
    <t>Plano de ação:</t>
  </si>
  <si>
    <t>Isa deve de custo trizas e etc</t>
  </si>
  <si>
    <t>Bandeja passageiro</t>
  </si>
  <si>
    <t>Cambagem lado direito dianteiro</t>
  </si>
  <si>
    <t>Correia Dentada motor</t>
  </si>
  <si>
    <t>150.200km</t>
  </si>
  <si>
    <t>200.200km</t>
  </si>
  <si>
    <t>Cambagem traseira e alinhamento traseiro</t>
  </si>
  <si>
    <t>pizza</t>
  </si>
  <si>
    <t>mercado</t>
  </si>
  <si>
    <t>Seguro cartao MP</t>
  </si>
  <si>
    <t>Sapata de freio</t>
  </si>
  <si>
    <t>mao de obra Sapata de freio</t>
  </si>
  <si>
    <t>Cilindro mestre</t>
  </si>
  <si>
    <t>Mao de obra troca colindro de roda</t>
  </si>
  <si>
    <t>152.300km</t>
  </si>
  <si>
    <t>192.300km ou 2 anos</t>
  </si>
  <si>
    <t>doces</t>
  </si>
  <si>
    <t>perte mercado e pao</t>
  </si>
  <si>
    <t>negao</t>
  </si>
  <si>
    <t>dona conceição</t>
  </si>
  <si>
    <t>coca</t>
  </si>
  <si>
    <t xml:space="preserve">Brigadeiro </t>
  </si>
  <si>
    <t>Paga Março</t>
  </si>
  <si>
    <t>Licenciamento focus</t>
  </si>
  <si>
    <t>Reserva Casa</t>
  </si>
  <si>
    <t>Reserva Carro</t>
  </si>
  <si>
    <t>Reserva presentes</t>
  </si>
  <si>
    <t>Reserva Viagem</t>
  </si>
  <si>
    <t>Cartao carrefuor</t>
  </si>
  <si>
    <t>Balanceamento Dianteiro</t>
  </si>
  <si>
    <t>Montagem dos oneu</t>
  </si>
  <si>
    <t>Contas Casa</t>
  </si>
  <si>
    <t>Multa estacionamento</t>
  </si>
  <si>
    <t>O que eu quiser</t>
  </si>
  <si>
    <t>Role no cia</t>
  </si>
  <si>
    <t xml:space="preserve">  </t>
  </si>
  <si>
    <t>teste</t>
  </si>
  <si>
    <t>Uber isa</t>
  </si>
  <si>
    <t>Freio de mao</t>
  </si>
  <si>
    <t>gasosa sitio</t>
  </si>
  <si>
    <t>pote sorvete</t>
  </si>
  <si>
    <t>pedagio sitio</t>
  </si>
  <si>
    <t>rifa hau</t>
  </si>
  <si>
    <t>doce</t>
  </si>
  <si>
    <t>gasosa + uns barato pra mogi</t>
  </si>
  <si>
    <t>burgue</t>
  </si>
  <si>
    <t>Conforme pagarem oq deve, tirar da soma de "Devem Total". Pintar de verde que pagou e add o valor pago na tabela "Voltou"</t>
  </si>
  <si>
    <t>Paga Abril</t>
  </si>
  <si>
    <t>Cartão MP</t>
  </si>
  <si>
    <t>Cartão carrefuor</t>
  </si>
  <si>
    <t>Multas</t>
  </si>
  <si>
    <t>Suporte trilho</t>
  </si>
  <si>
    <t>gasosa find</t>
  </si>
  <si>
    <t>HBO</t>
  </si>
  <si>
    <t>Meli+</t>
  </si>
  <si>
    <t>COCA</t>
  </si>
  <si>
    <t>mc</t>
  </si>
  <si>
    <t>151.000km</t>
  </si>
  <si>
    <t>pdagio mogi</t>
  </si>
  <si>
    <t>Ingresso</t>
  </si>
  <si>
    <t>Filtro de oleo</t>
  </si>
  <si>
    <t>Oleo motor 4L</t>
  </si>
  <si>
    <t>Claude</t>
  </si>
  <si>
    <t>155.100km</t>
  </si>
  <si>
    <t>165.100km</t>
  </si>
  <si>
    <t>160.100km</t>
  </si>
  <si>
    <t>Distribuição Mensal</t>
  </si>
  <si>
    <t>Vaga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</si>
</sst>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&quot;\ * #,##0_-;\-&quot;R$&quot;\ * #,##0_-;_-&quot;R$&quot;\ * &quot;-&quot;??_-;_-@_-"/>
    <numFmt numFmtId="165" formatCode="_-&quot;R$&quot;\ * #,##0.00_-;\-&quot;R$&quot;\ * #,##0.00_-;_-&quot;R$&quot;\ * &quot;-&quot;??_-;_-@"/>
  </numFmts>
  <fonts count="4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rgb="FF00B0F0"/>
      <name val="Calibri"/>
      <family val="2"/>
      <scheme val="minor"/>
    </font>
    <font>
      <sz val="13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8" tint="0.39997558519241921"/>
      <name val="Calibri"/>
      <family val="2"/>
      <scheme val="minor"/>
    </font>
    <font>
      <b/>
      <sz val="20"/>
      <color theme="7" tint="-0.499984740745262"/>
      <name val="Calibri"/>
      <family val="2"/>
      <scheme val="minor"/>
    </font>
    <font>
      <sz val="8"/>
      <color theme="8" tint="0.39997558519241921"/>
      <name val="Calibri"/>
      <family val="2"/>
      <scheme val="minor"/>
    </font>
    <font>
      <sz val="8"/>
      <color theme="7" tint="-0.499984740745262"/>
      <name val="Calibri"/>
      <family val="2"/>
      <scheme val="minor"/>
    </font>
    <font>
      <b/>
      <sz val="14"/>
      <color rgb="FF2E75B5"/>
      <name val="Calibri"/>
      <family val="2"/>
    </font>
    <font>
      <b/>
      <sz val="14"/>
      <color rgb="FFBF9000"/>
      <name val="Calibri"/>
      <family val="2"/>
    </font>
    <font>
      <b/>
      <sz val="16"/>
      <color theme="1"/>
      <name val="Calibri"/>
      <family val="2"/>
    </font>
    <font>
      <b/>
      <sz val="14"/>
      <color theme="4" tint="0.39997558519241921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rgb="FF555555"/>
      <name val="Arial"/>
      <family val="2"/>
    </font>
    <font>
      <sz val="10"/>
      <color theme="1"/>
      <name val="Calibri"/>
      <family val="2"/>
      <scheme val="minor"/>
    </font>
    <font>
      <sz val="11"/>
      <color theme="9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auto="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auto="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7558519241921"/>
      </right>
      <top style="thin">
        <color auto="1"/>
      </top>
      <bottom style="thin">
        <color theme="4" tint="0.3999755851924192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6">
    <xf numFmtId="0" fontId="0" fillId="0" borderId="0" xfId="0"/>
    <xf numFmtId="44" fontId="0" fillId="0" borderId="0" xfId="0" applyNumberFormat="1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1" fillId="2" borderId="0" xfId="1" applyFont="1" applyFill="1" applyAlignment="1">
      <alignment horizontal="center" vertical="center"/>
    </xf>
    <xf numFmtId="0" fontId="1" fillId="5" borderId="0" xfId="1" applyFont="1" applyFill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3" fillId="5" borderId="0" xfId="1" applyFont="1" applyFill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2" xfId="0" applyFont="1" applyFill="1" applyBorder="1"/>
    <xf numFmtId="44" fontId="4" fillId="7" borderId="3" xfId="0" applyNumberFormat="1" applyFont="1" applyFill="1" applyBorder="1"/>
    <xf numFmtId="44" fontId="7" fillId="0" borderId="0" xfId="0" applyNumberFormat="1" applyFont="1"/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left"/>
    </xf>
    <xf numFmtId="0" fontId="12" fillId="0" borderId="0" xfId="0" applyFont="1"/>
    <xf numFmtId="44" fontId="10" fillId="0" borderId="0" xfId="0" applyNumberFormat="1" applyFont="1" applyAlignment="1">
      <alignment horizontal="left" vertical="center"/>
    </xf>
    <xf numFmtId="44" fontId="13" fillId="0" borderId="0" xfId="0" applyNumberFormat="1" applyFont="1" applyAlignment="1">
      <alignment horizontal="left" vertical="center"/>
    </xf>
    <xf numFmtId="14" fontId="0" fillId="4" borderId="0" xfId="0" applyNumberFormat="1" applyFill="1"/>
    <xf numFmtId="14" fontId="4" fillId="7" borderId="1" xfId="0" applyNumberFormat="1" applyFont="1" applyFill="1" applyBorder="1"/>
    <xf numFmtId="44" fontId="0" fillId="4" borderId="0" xfId="0" applyNumberFormat="1" applyFill="1"/>
    <xf numFmtId="44" fontId="12" fillId="0" borderId="0" xfId="0" applyNumberFormat="1" applyFont="1"/>
    <xf numFmtId="44" fontId="6" fillId="6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6" fillId="9" borderId="0" xfId="1" applyFont="1" applyFill="1" applyAlignment="1">
      <alignment horizontal="center" vertical="center"/>
    </xf>
    <xf numFmtId="0" fontId="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0" fontId="15" fillId="4" borderId="0" xfId="1" applyFont="1" applyFill="1" applyAlignment="1">
      <alignment horizontal="center" vertical="center"/>
    </xf>
    <xf numFmtId="0" fontId="6" fillId="10" borderId="0" xfId="1" applyFont="1" applyFill="1" applyAlignment="1">
      <alignment horizontal="center" vertical="center"/>
    </xf>
    <xf numFmtId="0" fontId="1" fillId="10" borderId="0" xfId="1" applyFont="1" applyFill="1" applyAlignment="1">
      <alignment horizontal="center" vertical="center"/>
    </xf>
    <xf numFmtId="164" fontId="0" fillId="0" borderId="0" xfId="0" applyNumberFormat="1"/>
    <xf numFmtId="164" fontId="1" fillId="5" borderId="0" xfId="1" applyNumberFormat="1" applyFont="1" applyFill="1" applyAlignment="1">
      <alignment horizontal="center" vertical="center"/>
    </xf>
    <xf numFmtId="44" fontId="0" fillId="0" borderId="0" xfId="0" applyNumberFormat="1" applyAlignment="1">
      <alignment horizontal="left" vertical="center"/>
    </xf>
    <xf numFmtId="4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vertical="center"/>
    </xf>
    <xf numFmtId="0" fontId="16" fillId="0" borderId="0" xfId="0" applyFont="1"/>
    <xf numFmtId="44" fontId="1" fillId="0" borderId="0" xfId="0" applyNumberFormat="1" applyFont="1"/>
    <xf numFmtId="14" fontId="16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left" vertical="center"/>
    </xf>
    <xf numFmtId="0" fontId="11" fillId="0" borderId="0" xfId="0" applyFont="1"/>
    <xf numFmtId="0" fontId="6" fillId="8" borderId="0" xfId="1" applyFont="1" applyFill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44" fontId="17" fillId="0" borderId="0" xfId="0" applyNumberFormat="1" applyFont="1"/>
    <xf numFmtId="10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4" xfId="0" applyBorder="1"/>
    <xf numFmtId="0" fontId="0" fillId="0" borderId="4" xfId="0" applyBorder="1" applyAlignment="1">
      <alignment horizontal="center"/>
    </xf>
    <xf numFmtId="0" fontId="6" fillId="12" borderId="0" xfId="1" applyFont="1" applyFill="1" applyAlignment="1">
      <alignment horizontal="center" vertical="center"/>
    </xf>
    <xf numFmtId="44" fontId="3" fillId="12" borderId="0" xfId="1" applyNumberFormat="1" applyFont="1" applyFill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14" fillId="0" borderId="0" xfId="0" applyFont="1" applyAlignment="1">
      <alignment vertical="center"/>
    </xf>
    <xf numFmtId="14" fontId="5" fillId="13" borderId="9" xfId="0" applyNumberFormat="1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44" fontId="5" fillId="13" borderId="11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14" fontId="15" fillId="0" borderId="0" xfId="0" applyNumberFormat="1" applyFont="1"/>
    <xf numFmtId="0" fontId="15" fillId="0" borderId="0" xfId="0" applyFont="1"/>
    <xf numFmtId="44" fontId="15" fillId="0" borderId="0" xfId="0" applyNumberFormat="1" applyFont="1"/>
    <xf numFmtId="0" fontId="5" fillId="0" borderId="0" xfId="0" applyFont="1" applyAlignment="1">
      <alignment horizontal="center" vertical="center"/>
    </xf>
    <xf numFmtId="0" fontId="19" fillId="5" borderId="19" xfId="0" applyFont="1" applyFill="1" applyBorder="1" applyAlignment="1">
      <alignment horizontal="center" vertical="center"/>
    </xf>
    <xf numFmtId="44" fontId="0" fillId="0" borderId="20" xfId="0" applyNumberFormat="1" applyBorder="1"/>
    <xf numFmtId="0" fontId="4" fillId="7" borderId="22" xfId="0" applyFont="1" applyFill="1" applyBorder="1"/>
    <xf numFmtId="0" fontId="4" fillId="7" borderId="23" xfId="0" applyFont="1" applyFill="1" applyBorder="1" applyAlignment="1">
      <alignment horizontal="center"/>
    </xf>
    <xf numFmtId="0" fontId="4" fillId="7" borderId="23" xfId="0" applyFont="1" applyFill="1" applyBorder="1"/>
    <xf numFmtId="44" fontId="4" fillId="7" borderId="24" xfId="0" applyNumberFormat="1" applyFont="1" applyFill="1" applyBorder="1"/>
    <xf numFmtId="14" fontId="21" fillId="13" borderId="16" xfId="0" applyNumberFormat="1" applyFont="1" applyFill="1" applyBorder="1" applyAlignment="1">
      <alignment horizontal="center"/>
    </xf>
    <xf numFmtId="44" fontId="21" fillId="13" borderId="5" xfId="0" applyNumberFormat="1" applyFont="1" applyFill="1" applyBorder="1" applyAlignment="1">
      <alignment horizontal="center" vertical="center"/>
    </xf>
    <xf numFmtId="0" fontId="21" fillId="13" borderId="15" xfId="0" applyFont="1" applyFill="1" applyBorder="1" applyAlignment="1">
      <alignment horizontal="center"/>
    </xf>
    <xf numFmtId="0" fontId="21" fillId="13" borderId="5" xfId="0" applyFont="1" applyFill="1" applyBorder="1" applyAlignment="1">
      <alignment horizontal="center"/>
    </xf>
    <xf numFmtId="0" fontId="15" fillId="4" borderId="0" xfId="0" applyFont="1" applyFill="1"/>
    <xf numFmtId="0" fontId="6" fillId="15" borderId="0" xfId="1" applyFont="1" applyFill="1" applyAlignment="1">
      <alignment horizontal="center" vertical="center"/>
    </xf>
    <xf numFmtId="0" fontId="3" fillId="15" borderId="0" xfId="1" applyFont="1" applyFill="1" applyAlignment="1">
      <alignment horizontal="center" vertical="center"/>
    </xf>
    <xf numFmtId="0" fontId="1" fillId="9" borderId="0" xfId="1" applyFont="1" applyFill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0" fillId="0" borderId="26" xfId="0" applyBorder="1"/>
    <xf numFmtId="0" fontId="18" fillId="0" borderId="25" xfId="0" applyFont="1" applyBorder="1" applyAlignment="1">
      <alignment horizontal="center" vertical="center"/>
    </xf>
    <xf numFmtId="0" fontId="19" fillId="5" borderId="25" xfId="0" applyFont="1" applyFill="1" applyBorder="1" applyAlignment="1">
      <alignment horizontal="center" vertical="center"/>
    </xf>
    <xf numFmtId="14" fontId="5" fillId="13" borderId="5" xfId="0" applyNumberFormat="1" applyFont="1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44" fontId="22" fillId="17" borderId="0" xfId="0" applyNumberFormat="1" applyFont="1" applyFill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2" fontId="25" fillId="0" borderId="0" xfId="0" applyNumberFormat="1" applyFont="1"/>
    <xf numFmtId="44" fontId="26" fillId="0" borderId="0" xfId="0" applyNumberFormat="1" applyFont="1"/>
    <xf numFmtId="0" fontId="0" fillId="0" borderId="0" xfId="0" applyAlignment="1">
      <alignment horizontal="center" vertical="center"/>
    </xf>
    <xf numFmtId="0" fontId="29" fillId="0" borderId="0" xfId="0" applyFont="1"/>
    <xf numFmtId="44" fontId="30" fillId="0" borderId="0" xfId="0" applyNumberFormat="1" applyFont="1" applyAlignment="1">
      <alignment horizontal="center" vertical="center"/>
    </xf>
    <xf numFmtId="0" fontId="31" fillId="0" borderId="0" xfId="0" applyFont="1"/>
    <xf numFmtId="4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>
      <alignment horizontal="right" vertical="center"/>
    </xf>
    <xf numFmtId="0" fontId="32" fillId="0" borderId="0" xfId="0" applyFont="1"/>
    <xf numFmtId="2" fontId="0" fillId="0" borderId="0" xfId="0" applyNumberFormat="1"/>
    <xf numFmtId="44" fontId="33" fillId="0" borderId="0" xfId="0" applyNumberFormat="1" applyFont="1" applyAlignment="1">
      <alignment horizontal="right" vertical="center"/>
    </xf>
    <xf numFmtId="0" fontId="0" fillId="0" borderId="4" xfId="0" applyBorder="1" applyAlignment="1">
      <alignment horizontal="left" vertical="center"/>
    </xf>
    <xf numFmtId="44" fontId="0" fillId="18" borderId="4" xfId="0" applyNumberFormat="1" applyFill="1" applyBorder="1" applyAlignment="1">
      <alignment horizontal="right" vertical="center"/>
    </xf>
    <xf numFmtId="44" fontId="0" fillId="0" borderId="4" xfId="0" applyNumberFormat="1" applyBorder="1"/>
    <xf numFmtId="8" fontId="0" fillId="18" borderId="0" xfId="0" applyNumberFormat="1" applyFill="1" applyAlignment="1">
      <alignment horizontal="right" vertical="center"/>
    </xf>
    <xf numFmtId="44" fontId="0" fillId="18" borderId="30" xfId="0" applyNumberFormat="1" applyFill="1" applyBorder="1" applyAlignment="1">
      <alignment horizontal="right" vertical="center"/>
    </xf>
    <xf numFmtId="0" fontId="33" fillId="0" borderId="4" xfId="0" applyFont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37" fillId="19" borderId="0" xfId="0" applyFont="1" applyFill="1"/>
    <xf numFmtId="14" fontId="37" fillId="19" borderId="0" xfId="0" applyNumberFormat="1" applyFont="1" applyFill="1"/>
    <xf numFmtId="44" fontId="37" fillId="19" borderId="0" xfId="0" applyNumberFormat="1" applyFont="1" applyFill="1"/>
    <xf numFmtId="49" fontId="37" fillId="19" borderId="0" xfId="0" applyNumberFormat="1" applyFont="1" applyFill="1"/>
    <xf numFmtId="0" fontId="37" fillId="19" borderId="32" xfId="0" applyFont="1" applyFill="1" applyBorder="1"/>
    <xf numFmtId="0" fontId="37" fillId="20" borderId="0" xfId="0" applyFont="1" applyFill="1"/>
    <xf numFmtId="44" fontId="37" fillId="19" borderId="32" xfId="0" applyNumberFormat="1" applyFont="1" applyFill="1" applyBorder="1"/>
    <xf numFmtId="0" fontId="37" fillId="19" borderId="29" xfId="0" applyFont="1" applyFill="1" applyBorder="1"/>
    <xf numFmtId="44" fontId="37" fillId="19" borderId="29" xfId="0" applyNumberFormat="1" applyFont="1" applyFill="1" applyBorder="1"/>
    <xf numFmtId="0" fontId="37" fillId="19" borderId="0" xfId="0" applyFont="1" applyFill="1" applyAlignment="1">
      <alignment horizontal="center" vertical="center"/>
    </xf>
    <xf numFmtId="44" fontId="37" fillId="19" borderId="0" xfId="0" applyNumberFormat="1" applyFont="1" applyFill="1" applyAlignment="1">
      <alignment horizontal="center" vertical="center"/>
    </xf>
    <xf numFmtId="14" fontId="37" fillId="19" borderId="32" xfId="0" applyNumberFormat="1" applyFont="1" applyFill="1" applyBorder="1"/>
    <xf numFmtId="17" fontId="37" fillId="19" borderId="0" xfId="0" applyNumberFormat="1" applyFont="1" applyFill="1"/>
    <xf numFmtId="0" fontId="37" fillId="19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left" vertical="center"/>
    </xf>
    <xf numFmtId="44" fontId="0" fillId="0" borderId="33" xfId="0" applyNumberFormat="1" applyBorder="1"/>
    <xf numFmtId="14" fontId="0" fillId="21" borderId="0" xfId="0" applyNumberFormat="1" applyFill="1" applyAlignment="1">
      <alignment horizontal="right" vertical="center"/>
    </xf>
    <xf numFmtId="9" fontId="37" fillId="19" borderId="0" xfId="0" applyNumberFormat="1" applyFont="1" applyFill="1" applyAlignment="1">
      <alignment horizontal="left" vertical="center"/>
    </xf>
    <xf numFmtId="9" fontId="37" fillId="19" borderId="0" xfId="0" applyNumberFormat="1" applyFont="1" applyFill="1"/>
    <xf numFmtId="0" fontId="0" fillId="0" borderId="34" xfId="0" applyBorder="1" applyAlignment="1">
      <alignment horizontal="left" vertical="center"/>
    </xf>
    <xf numFmtId="44" fontId="0" fillId="18" borderId="34" xfId="0" applyNumberFormat="1" applyFill="1" applyBorder="1" applyAlignment="1">
      <alignment horizontal="right" vertical="center"/>
    </xf>
    <xf numFmtId="44" fontId="0" fillId="0" borderId="34" xfId="0" applyNumberFormat="1" applyBorder="1"/>
    <xf numFmtId="10" fontId="37" fillId="19" borderId="0" xfId="0" applyNumberFormat="1" applyFont="1" applyFill="1"/>
    <xf numFmtId="10" fontId="37" fillId="19" borderId="29" xfId="0" applyNumberFormat="1" applyFont="1" applyFill="1" applyBorder="1"/>
    <xf numFmtId="10" fontId="37" fillId="19" borderId="32" xfId="0" applyNumberFormat="1" applyFont="1" applyFill="1" applyBorder="1"/>
    <xf numFmtId="44" fontId="0" fillId="0" borderId="0" xfId="0" applyNumberFormat="1" applyAlignment="1">
      <alignment horizontal="right" vertical="center"/>
    </xf>
    <xf numFmtId="2" fontId="37" fillId="19" borderId="0" xfId="0" applyNumberFormat="1" applyFont="1" applyFill="1"/>
    <xf numFmtId="0" fontId="38" fillId="0" borderId="0" xfId="0" applyFont="1"/>
    <xf numFmtId="0" fontId="37" fillId="19" borderId="35" xfId="0" applyFont="1" applyFill="1" applyBorder="1"/>
    <xf numFmtId="14" fontId="37" fillId="19" borderId="0" xfId="0" applyNumberFormat="1" applyFont="1" applyFill="1" applyAlignment="1">
      <alignment horizontal="center"/>
    </xf>
    <xf numFmtId="0" fontId="37" fillId="19" borderId="0" xfId="0" applyFont="1" applyFill="1" applyAlignment="1">
      <alignment horizontal="center"/>
    </xf>
    <xf numFmtId="0" fontId="37" fillId="19" borderId="35" xfId="0" applyFont="1" applyFill="1" applyBorder="1" applyAlignment="1">
      <alignment horizontal="center"/>
    </xf>
    <xf numFmtId="0" fontId="37" fillId="19" borderId="0" xfId="0" applyFont="1" applyFill="1" applyAlignment="1">
      <alignment horizontal="left"/>
    </xf>
    <xf numFmtId="0" fontId="37" fillId="19" borderId="35" xfId="0" applyFont="1" applyFill="1" applyBorder="1" applyAlignment="1">
      <alignment horizontal="left"/>
    </xf>
    <xf numFmtId="3" fontId="37" fillId="19" borderId="0" xfId="0" applyNumberFormat="1" applyFont="1" applyFill="1" applyAlignment="1">
      <alignment horizontal="center"/>
    </xf>
    <xf numFmtId="44" fontId="37" fillId="19" borderId="0" xfId="0" applyNumberFormat="1" applyFont="1" applyFill="1" applyAlignment="1">
      <alignment horizontal="left"/>
    </xf>
    <xf numFmtId="0" fontId="33" fillId="22" borderId="0" xfId="0" applyFont="1" applyFill="1" applyAlignment="1">
      <alignment horizontal="center" vertical="center"/>
    </xf>
    <xf numFmtId="44" fontId="33" fillId="6" borderId="0" xfId="0" applyNumberFormat="1" applyFont="1" applyFill="1" applyAlignment="1">
      <alignment horizontal="center" vertical="center"/>
    </xf>
    <xf numFmtId="44" fontId="33" fillId="5" borderId="0" xfId="0" applyNumberFormat="1" applyFont="1" applyFill="1" applyAlignment="1">
      <alignment horizontal="center" vertical="center"/>
    </xf>
    <xf numFmtId="0" fontId="37" fillId="23" borderId="0" xfId="0" applyFont="1" applyFill="1"/>
    <xf numFmtId="0" fontId="37" fillId="6" borderId="0" xfId="0" applyFont="1" applyFill="1"/>
    <xf numFmtId="165" fontId="28" fillId="0" borderId="0" xfId="0" applyNumberFormat="1" applyFont="1" applyAlignment="1">
      <alignment horizontal="center" vertical="center"/>
    </xf>
    <xf numFmtId="165" fontId="27" fillId="0" borderId="0" xfId="0" applyNumberFormat="1" applyFont="1" applyAlignment="1">
      <alignment horizontal="center" vertical="center"/>
    </xf>
    <xf numFmtId="10" fontId="0" fillId="0" borderId="0" xfId="0" applyNumberFormat="1"/>
    <xf numFmtId="3" fontId="37" fillId="19" borderId="0" xfId="0" applyNumberFormat="1" applyFont="1" applyFill="1" applyAlignment="1">
      <alignment horizontal="left"/>
    </xf>
    <xf numFmtId="44" fontId="37" fillId="19" borderId="32" xfId="0" applyNumberFormat="1" applyFont="1" applyFill="1" applyBorder="1" applyAlignment="1">
      <alignment vertical="center"/>
    </xf>
    <xf numFmtId="44" fontId="37" fillId="19" borderId="0" xfId="0" applyNumberFormat="1" applyFont="1" applyFill="1" applyAlignment="1">
      <alignment vertical="center"/>
    </xf>
    <xf numFmtId="0" fontId="33" fillId="0" borderId="0" xfId="0" applyFont="1"/>
    <xf numFmtId="44" fontId="33" fillId="0" borderId="0" xfId="0" applyNumberFormat="1" applyFont="1"/>
    <xf numFmtId="44" fontId="0" fillId="0" borderId="2" xfId="0" applyNumberFormat="1" applyBorder="1" applyAlignment="1">
      <alignment horizontal="right" vertical="center"/>
    </xf>
    <xf numFmtId="0" fontId="0" fillId="24" borderId="36" xfId="0" applyFill="1" applyBorder="1"/>
    <xf numFmtId="0" fontId="0" fillId="24" borderId="27" xfId="0" applyFill="1" applyBorder="1"/>
    <xf numFmtId="0" fontId="0" fillId="0" borderId="36" xfId="0" applyBorder="1"/>
    <xf numFmtId="0" fontId="0" fillId="0" borderId="27" xfId="0" applyBorder="1"/>
    <xf numFmtId="44" fontId="0" fillId="0" borderId="28" xfId="0" applyNumberFormat="1" applyBorder="1"/>
    <xf numFmtId="44" fontId="0" fillId="24" borderId="28" xfId="0" applyNumberFormat="1" applyFill="1" applyBorder="1"/>
    <xf numFmtId="0" fontId="39" fillId="0" borderId="0" xfId="0" applyFont="1"/>
    <xf numFmtId="44" fontId="40" fillId="0" borderId="0" xfId="0" applyNumberFormat="1" applyFont="1"/>
    <xf numFmtId="4" fontId="0" fillId="0" borderId="0" xfId="0" applyNumberFormat="1"/>
    <xf numFmtId="44" fontId="40" fillId="24" borderId="28" xfId="0" applyNumberFormat="1" applyFont="1" applyFill="1" applyBorder="1"/>
    <xf numFmtId="44" fontId="0" fillId="25" borderId="0" xfId="0" applyNumberFormat="1" applyFill="1"/>
    <xf numFmtId="14" fontId="0" fillId="27" borderId="37" xfId="0" applyNumberFormat="1" applyFill="1" applyBorder="1" applyAlignment="1">
      <alignment horizontal="right" vertical="center"/>
    </xf>
    <xf numFmtId="14" fontId="0" fillId="26" borderId="37" xfId="0" applyNumberFormat="1" applyFill="1" applyBorder="1" applyAlignment="1">
      <alignment horizontal="right" vertical="center"/>
    </xf>
    <xf numFmtId="44" fontId="9" fillId="0" borderId="0" xfId="0" applyNumberFormat="1" applyFont="1" applyAlignment="1">
      <alignment horizontal="left" vertical="center"/>
    </xf>
    <xf numFmtId="9" fontId="9" fillId="0" borderId="0" xfId="0" applyNumberFormat="1" applyFont="1" applyAlignment="1">
      <alignment horizontal="left" vertical="center"/>
    </xf>
    <xf numFmtId="44" fontId="36" fillId="0" borderId="0" xfId="0" applyNumberFormat="1" applyFont="1" applyAlignment="1">
      <alignment horizontal="right"/>
    </xf>
    <xf numFmtId="9" fontId="36" fillId="0" borderId="0" xfId="0" applyNumberFormat="1" applyFont="1" applyAlignment="1">
      <alignment horizontal="right"/>
    </xf>
    <xf numFmtId="44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14" fontId="22" fillId="0" borderId="12" xfId="0" applyNumberFormat="1" applyFont="1" applyBorder="1" applyAlignment="1">
      <alignment horizontal="center"/>
    </xf>
    <xf numFmtId="14" fontId="22" fillId="0" borderId="13" xfId="0" applyNumberFormat="1" applyFont="1" applyBorder="1" applyAlignment="1">
      <alignment horizontal="center"/>
    </xf>
    <xf numFmtId="14" fontId="22" fillId="0" borderId="14" xfId="0" applyNumberFormat="1" applyFont="1" applyBorder="1" applyAlignment="1">
      <alignment horizontal="center"/>
    </xf>
    <xf numFmtId="0" fontId="12" fillId="8" borderId="6" xfId="0" applyFont="1" applyFill="1" applyBorder="1" applyAlignment="1">
      <alignment horizontal="center"/>
    </xf>
    <xf numFmtId="0" fontId="12" fillId="8" borderId="7" xfId="0" applyFont="1" applyFill="1" applyBorder="1" applyAlignment="1">
      <alignment horizontal="center"/>
    </xf>
    <xf numFmtId="0" fontId="12" fillId="8" borderId="8" xfId="0" applyFont="1" applyFill="1" applyBorder="1" applyAlignment="1">
      <alignment horizont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20" fillId="14" borderId="6" xfId="0" applyFont="1" applyFill="1" applyBorder="1" applyAlignment="1">
      <alignment horizontal="center"/>
    </xf>
    <xf numFmtId="0" fontId="20" fillId="14" borderId="7" xfId="0" applyFont="1" applyFill="1" applyBorder="1" applyAlignment="1">
      <alignment horizontal="center"/>
    </xf>
    <xf numFmtId="0" fontId="20" fillId="14" borderId="8" xfId="0" applyFont="1" applyFill="1" applyBorder="1" applyAlignment="1">
      <alignment horizontal="center"/>
    </xf>
    <xf numFmtId="0" fontId="0" fillId="11" borderId="0" xfId="0" applyFill="1" applyAlignment="1">
      <alignment horizontal="center" vertical="top" wrapText="1"/>
    </xf>
    <xf numFmtId="14" fontId="37" fillId="19" borderId="29" xfId="0" applyNumberFormat="1" applyFont="1" applyFill="1" applyBorder="1" applyAlignment="1">
      <alignment horizontal="center"/>
    </xf>
    <xf numFmtId="44" fontId="37" fillId="19" borderId="32" xfId="0" applyNumberFormat="1" applyFont="1" applyFill="1" applyBorder="1" applyAlignment="1">
      <alignment horizontal="center" vertical="center"/>
    </xf>
    <xf numFmtId="44" fontId="37" fillId="19" borderId="0" xfId="0" applyNumberFormat="1" applyFont="1" applyFill="1" applyAlignment="1">
      <alignment horizontal="center" vertical="center"/>
    </xf>
    <xf numFmtId="44" fontId="37" fillId="19" borderId="29" xfId="0" applyNumberFormat="1" applyFont="1" applyFill="1" applyBorder="1" applyAlignment="1">
      <alignment horizontal="center" vertical="center"/>
    </xf>
    <xf numFmtId="14" fontId="37" fillId="19" borderId="32" xfId="0" applyNumberFormat="1" applyFont="1" applyFill="1" applyBorder="1" applyAlignment="1">
      <alignment horizontal="center" vertical="center"/>
    </xf>
    <xf numFmtId="14" fontId="37" fillId="19" borderId="0" xfId="0" applyNumberFormat="1" applyFont="1" applyFill="1" applyAlignment="1">
      <alignment horizontal="center" vertical="center"/>
    </xf>
    <xf numFmtId="14" fontId="37" fillId="19" borderId="29" xfId="0" applyNumberFormat="1" applyFont="1" applyFill="1" applyBorder="1" applyAlignment="1">
      <alignment horizontal="center" vertical="center"/>
    </xf>
    <xf numFmtId="0" fontId="37" fillId="20" borderId="0" xfId="0" applyFont="1" applyFill="1" applyAlignment="1">
      <alignment horizontal="center"/>
    </xf>
    <xf numFmtId="0" fontId="0" fillId="0" borderId="0" xfId="0" applyAlignment="1">
      <alignment horizontal="center" wrapText="1"/>
    </xf>
  </cellXfs>
  <cellStyles count="2">
    <cellStyle name="Hiperlink" xfId="1" builtinId="8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color theme="9" tint="-0.24994659260841701"/>
      </font>
    </dxf>
    <dxf>
      <font>
        <color theme="9" tint="-0.24994659260841701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border outline="0">
        <right style="thin">
          <color auto="1"/>
        </right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right" vertical="center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border diagonalUp="0" diagonalDown="0">
        <left style="thin">
          <color auto="1"/>
        </left>
        <vertic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border diagonalUp="0" diagonalDown="0">
        <left/>
        <right style="thin">
          <color theme="4" tint="0.39991454817346722"/>
        </right>
        <top/>
        <bottom/>
        <vertical/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</dxf>
    <dxf>
      <numFmt numFmtId="19" formatCode="dd/mm/yyyy"/>
    </dxf>
    <dxf>
      <alignment horizontal="left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1" formatCode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9" formatCode="dd/mm/yyyy"/>
    </dxf>
    <dxf>
      <border outline="0">
        <top style="thin">
          <color theme="4" tint="0.39997558519241921"/>
        </top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5050"/>
      <color rgb="FFEC814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776307905812514"/>
          <c:y val="1.7717698332248719E-2"/>
          <c:w val="0.38369225044717126"/>
          <c:h val="0.11748059466089288"/>
        </c:manualLayout>
      </c:layout>
      <c:barChart>
        <c:barDir val="col"/>
        <c:grouping val="clustered"/>
        <c:varyColors val="0"/>
        <c:ser>
          <c:idx val="6"/>
          <c:order val="0"/>
          <c:tx>
            <c:v>Janeiro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MP!$B$8</c:f>
              <c:numCache>
                <c:formatCode>_("R$"* #,##0.00_);_("R$"* \(#,##0.00\);_("R$"* "-"??_);_(@_)</c:formatCode>
                <c:ptCount val="1"/>
                <c:pt idx="0">
                  <c:v>11.199999999999818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0-49A8-B09C-23481F2DDC0F}"/>
            </c:ext>
          </c:extLst>
        </c:ser>
        <c:ser>
          <c:idx val="7"/>
          <c:order val="1"/>
          <c:tx>
            <c:v>Fevereiro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MP!$E$8</c:f>
              <c:numCache>
                <c:formatCode>_("R$"* #,##0.00_);_("R$"* \(#,##0.00\);_("R$"* "-"??_);_(@_)</c:formatCode>
                <c:ptCount val="1"/>
                <c:pt idx="0">
                  <c:v>-4.1200000000003456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F0-49A8-B09C-23481F2DDC0F}"/>
            </c:ext>
          </c:extLst>
        </c:ser>
        <c:ser>
          <c:idx val="8"/>
          <c:order val="2"/>
          <c:tx>
            <c:v>Março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MP!$H$8</c:f>
              <c:numCache>
                <c:formatCode>_("R$"* #,##0.00_);_("R$"* \(#,##0.00\);_("R$"* "-"??_);_(@_)</c:formatCode>
                <c:ptCount val="1"/>
                <c:pt idx="0">
                  <c:v>142.68000000000075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F0-49A8-B09C-23481F2DDC0F}"/>
            </c:ext>
          </c:extLst>
        </c:ser>
        <c:ser>
          <c:idx val="9"/>
          <c:order val="3"/>
          <c:tx>
            <c:v>Abril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MP!$B$13</c:f>
              <c:numCache>
                <c:formatCode>_("R$"* #,##0.00_);_("R$"* \(#,##0.00\);_("R$"* "-"??_);_(@_)</c:formatCode>
                <c:ptCount val="1"/>
                <c:pt idx="0">
                  <c:v>223.65000000000009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F0-49A8-B09C-23481F2DDC0F}"/>
            </c:ext>
          </c:extLst>
        </c:ser>
        <c:ser>
          <c:idx val="10"/>
          <c:order val="4"/>
          <c:tx>
            <c:v>Maio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MP!$E$13</c:f>
              <c:numCache>
                <c:formatCode>_("R$"* #,##0.00_);_("R$"* \(#,##0.00\);_("R$"* "-"??_);_(@_)</c:formatCode>
                <c:ptCount val="1"/>
                <c:pt idx="0">
                  <c:v>-236.61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F0-49A8-B09C-23481F2DDC0F}"/>
            </c:ext>
          </c:extLst>
        </c:ser>
        <c:ser>
          <c:idx val="11"/>
          <c:order val="5"/>
          <c:tx>
            <c:v>Junho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MP!$H$13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F0-49A8-B09C-23481F2DDC0F}"/>
            </c:ext>
          </c:extLst>
        </c:ser>
        <c:ser>
          <c:idx val="0"/>
          <c:order val="6"/>
          <c:tx>
            <c:v>Julho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MP!$A$1</c:f>
              <c:strCache>
                <c:ptCount val="1"/>
                <c:pt idx="0">
                  <c:v>MP</c:v>
                </c:pt>
              </c:strCache>
            </c:strRef>
          </c:cat>
          <c:val>
            <c:numRef>
              <c:f>MP!$B$18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8D-4056-88FA-F89FF24BF4DC}"/>
            </c:ext>
          </c:extLst>
        </c:ser>
        <c:ser>
          <c:idx val="1"/>
          <c:order val="7"/>
          <c:tx>
            <c:v>Agosto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MP!$A$1</c:f>
              <c:strCache>
                <c:ptCount val="1"/>
                <c:pt idx="0">
                  <c:v>MP</c:v>
                </c:pt>
              </c:strCache>
            </c:strRef>
          </c:cat>
          <c:val>
            <c:numRef>
              <c:f>MP!$E$18</c:f>
              <c:numCache>
                <c:formatCode>_("R$"* #,##0.00_);_("R$"* \(#,##0.00\);_("R$"* "-"??_);_(@_)</c:formatCode>
                <c:ptCount val="1"/>
                <c:pt idx="0">
                  <c:v>-136.80000000000001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8D-4056-88FA-F89FF24BF4DC}"/>
            </c:ext>
          </c:extLst>
        </c:ser>
        <c:ser>
          <c:idx val="2"/>
          <c:order val="8"/>
          <c:tx>
            <c:v>Setembro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MP!$A$1</c:f>
              <c:strCache>
                <c:ptCount val="1"/>
                <c:pt idx="0">
                  <c:v>MP</c:v>
                </c:pt>
              </c:strCache>
            </c:strRef>
          </c:cat>
          <c:val>
            <c:numRef>
              <c:f>MP!$H$18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8D-4056-88FA-F89FF24BF4DC}"/>
            </c:ext>
          </c:extLst>
        </c:ser>
        <c:ser>
          <c:idx val="3"/>
          <c:order val="9"/>
          <c:tx>
            <c:v>Outubro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MP!$A$1</c:f>
              <c:strCache>
                <c:ptCount val="1"/>
                <c:pt idx="0">
                  <c:v>MP</c:v>
                </c:pt>
              </c:strCache>
            </c:strRef>
          </c:cat>
          <c:val>
            <c:numRef>
              <c:f>MP!$B$23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8D-4056-88FA-F89FF24BF4DC}"/>
            </c:ext>
          </c:extLst>
        </c:ser>
        <c:ser>
          <c:idx val="4"/>
          <c:order val="10"/>
          <c:tx>
            <c:v>Novembro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MP!$A$1</c:f>
              <c:strCache>
                <c:ptCount val="1"/>
                <c:pt idx="0">
                  <c:v>MP</c:v>
                </c:pt>
              </c:strCache>
            </c:strRef>
          </c:cat>
          <c:val>
            <c:numRef>
              <c:f>MP!$E$23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8D-4056-88FA-F89FF24BF4DC}"/>
            </c:ext>
          </c:extLst>
        </c:ser>
        <c:ser>
          <c:idx val="5"/>
          <c:order val="11"/>
          <c:tx>
            <c:v>Dezembro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MP!$A$1</c:f>
              <c:strCache>
                <c:ptCount val="1"/>
                <c:pt idx="0">
                  <c:v>MP</c:v>
                </c:pt>
              </c:strCache>
            </c:strRef>
          </c:cat>
          <c:val>
            <c:numRef>
              <c:f>MP!$H$23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8D-4056-88FA-F89FF24B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7513424"/>
        <c:axId val="707514256"/>
      </c:barChart>
      <c:catAx>
        <c:axId val="707513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07514256"/>
        <c:crosses val="autoZero"/>
        <c:auto val="1"/>
        <c:lblAlgn val="ctr"/>
        <c:lblOffset val="100"/>
        <c:noMultiLvlLbl val="0"/>
      </c:catAx>
      <c:valAx>
        <c:axId val="70751425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7075134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ENTRADAS</c:v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Anual</c:v>
              </c:pt>
            </c:strLit>
          </c:cat>
          <c:val>
            <c:numRef>
              <c:f>ENTRADAS!$L$101</c:f>
              <c:numCache>
                <c:formatCode>_("R$"* #,##0.00_);_("R$"* \(#,##0.00\);_("R$"* "-"??_);_(@_)</c:formatCode>
                <c:ptCount val="1"/>
                <c:pt idx="0">
                  <c:v>15391.98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3-4420-8D8E-147A75B47E04}"/>
            </c:ext>
          </c:extLst>
        </c:ser>
        <c:ser>
          <c:idx val="1"/>
          <c:order val="1"/>
          <c:tx>
            <c:v>SAÍDA</c:v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Anual</c:v>
              </c:pt>
            </c:strLit>
          </c:cat>
          <c:val>
            <c:numRef>
              <c:f>SAÍDA!$E$474</c:f>
              <c:numCache>
                <c:formatCode>_("R$"* #,##0.00_);_("R$"* \(#,##0.00\);_("R$"* "-"??_);_(@_)</c:formatCode>
                <c:ptCount val="1"/>
                <c:pt idx="0">
                  <c:v>15391.979999999994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2-4796-A3AF-3F052CDD9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2084464"/>
        <c:axId val="412079056"/>
      </c:barChart>
      <c:catAx>
        <c:axId val="412084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2079056"/>
        <c:crosses val="autoZero"/>
        <c:auto val="1"/>
        <c:lblAlgn val="ctr"/>
        <c:lblOffset val="100"/>
        <c:noMultiLvlLbl val="0"/>
      </c:catAx>
      <c:valAx>
        <c:axId val="41207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2084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EVEM!A1"/><Relationship Id="rId3" Type="http://schemas.openxmlformats.org/officeDocument/2006/relationships/hyperlink" Target="#ITA&#218;!A1"/><Relationship Id="rId7" Type="http://schemas.openxmlformats.org/officeDocument/2006/relationships/chart" Target="../charts/chart2.xml"/><Relationship Id="rId2" Type="http://schemas.openxmlformats.org/officeDocument/2006/relationships/hyperlink" Target="#INVESTIMENTO!A1"/><Relationship Id="rId1" Type="http://schemas.openxmlformats.org/officeDocument/2006/relationships/hyperlink" Target="#MP!A1"/><Relationship Id="rId6" Type="http://schemas.openxmlformats.org/officeDocument/2006/relationships/chart" Target="../charts/chart1.xml"/><Relationship Id="rId5" Type="http://schemas.openxmlformats.org/officeDocument/2006/relationships/hyperlink" Target="#SA&#205;DA!A1"/><Relationship Id="rId4" Type="http://schemas.openxmlformats.org/officeDocument/2006/relationships/hyperlink" Target="#ENTRADAS!A1"/><Relationship Id="rId9" Type="http://schemas.openxmlformats.org/officeDocument/2006/relationships/hyperlink" Target="#DEV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19745</xdr:colOff>
      <xdr:row>0</xdr:row>
      <xdr:rowOff>27384</xdr:rowOff>
    </xdr:from>
    <xdr:to>
      <xdr:col>1</xdr:col>
      <xdr:colOff>686494</xdr:colOff>
      <xdr:row>0</xdr:row>
      <xdr:rowOff>908446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62D9D4-139D-4FD1-727A-CB96EF847905}"/>
            </a:ext>
          </a:extLst>
        </xdr:cNvPr>
        <xdr:cNvSpPr/>
      </xdr:nvSpPr>
      <xdr:spPr>
        <a:xfrm>
          <a:off x="19745" y="27384"/>
          <a:ext cx="1273968" cy="881062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MP</a:t>
          </a:r>
        </a:p>
      </xdr:txBody>
    </xdr:sp>
    <xdr:clientData/>
  </xdr:twoCellAnchor>
  <xdr:twoCellAnchor editAs="absolute">
    <xdr:from>
      <xdr:col>3</xdr:col>
      <xdr:colOff>293291</xdr:colOff>
      <xdr:row>0</xdr:row>
      <xdr:rowOff>27384</xdr:rowOff>
    </xdr:from>
    <xdr:to>
      <xdr:col>5</xdr:col>
      <xdr:colOff>114696</xdr:colOff>
      <xdr:row>0</xdr:row>
      <xdr:rowOff>908446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D1BB62-C970-49A2-83C1-0428A2DC25E2}"/>
            </a:ext>
          </a:extLst>
        </xdr:cNvPr>
        <xdr:cNvSpPr/>
      </xdr:nvSpPr>
      <xdr:spPr>
        <a:xfrm>
          <a:off x="2638822" y="27384"/>
          <a:ext cx="1273968" cy="88106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INVESTIMENTO</a:t>
          </a:r>
        </a:p>
      </xdr:txBody>
    </xdr:sp>
    <xdr:clientData/>
  </xdr:twoCellAnchor>
  <xdr:twoCellAnchor editAs="absolute">
    <xdr:from>
      <xdr:col>1</xdr:col>
      <xdr:colOff>722064</xdr:colOff>
      <xdr:row>0</xdr:row>
      <xdr:rowOff>27384</xdr:rowOff>
    </xdr:from>
    <xdr:to>
      <xdr:col>3</xdr:col>
      <xdr:colOff>257720</xdr:colOff>
      <xdr:row>0</xdr:row>
      <xdr:rowOff>908446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3CDF3C-62C2-43EC-8CFA-7CA584EF8CC3}"/>
            </a:ext>
          </a:extLst>
        </xdr:cNvPr>
        <xdr:cNvSpPr/>
      </xdr:nvSpPr>
      <xdr:spPr>
        <a:xfrm>
          <a:off x="1329283" y="27384"/>
          <a:ext cx="1273968" cy="881062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ITAÚ</a:t>
          </a:r>
        </a:p>
      </xdr:txBody>
    </xdr:sp>
    <xdr:clientData/>
  </xdr:twoCellAnchor>
  <xdr:twoCellAnchor>
    <xdr:from>
      <xdr:col>8</xdr:col>
      <xdr:colOff>201612</xdr:colOff>
      <xdr:row>0</xdr:row>
      <xdr:rowOff>33338</xdr:rowOff>
    </xdr:from>
    <xdr:to>
      <xdr:col>10</xdr:col>
      <xdr:colOff>76595</xdr:colOff>
      <xdr:row>0</xdr:row>
      <xdr:rowOff>914400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5D28AA-E989-4839-BAF6-E783D9953B2B}"/>
            </a:ext>
          </a:extLst>
        </xdr:cNvPr>
        <xdr:cNvSpPr/>
      </xdr:nvSpPr>
      <xdr:spPr>
        <a:xfrm>
          <a:off x="5130800" y="33338"/>
          <a:ext cx="1273967" cy="881062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ENTRADAS</a:t>
          </a:r>
        </a:p>
      </xdr:txBody>
    </xdr:sp>
    <xdr:clientData/>
  </xdr:twoCellAnchor>
  <xdr:twoCellAnchor>
    <xdr:from>
      <xdr:col>10</xdr:col>
      <xdr:colOff>121841</xdr:colOff>
      <xdr:row>0</xdr:row>
      <xdr:rowOff>33338</xdr:rowOff>
    </xdr:from>
    <xdr:to>
      <xdr:col>12</xdr:col>
      <xdr:colOff>181371</xdr:colOff>
      <xdr:row>0</xdr:row>
      <xdr:rowOff>914400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CC75C3-AE59-4121-9E25-48DCB8D11C7A}"/>
            </a:ext>
          </a:extLst>
        </xdr:cNvPr>
        <xdr:cNvSpPr/>
      </xdr:nvSpPr>
      <xdr:spPr>
        <a:xfrm>
          <a:off x="6450013" y="33338"/>
          <a:ext cx="1273967" cy="881062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SAÍDA</a:t>
          </a:r>
        </a:p>
      </xdr:txBody>
    </xdr:sp>
    <xdr:clientData/>
  </xdr:twoCellAnchor>
  <xdr:twoCellAnchor>
    <xdr:from>
      <xdr:col>0</xdr:col>
      <xdr:colOff>41671</xdr:colOff>
      <xdr:row>3</xdr:row>
      <xdr:rowOff>29766</xdr:rowOff>
    </xdr:from>
    <xdr:to>
      <xdr:col>2</xdr:col>
      <xdr:colOff>250031</xdr:colOff>
      <xdr:row>9</xdr:row>
      <xdr:rowOff>1690687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32B0DD-2439-D14D-2795-09320F11D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172641</xdr:colOff>
      <xdr:row>1</xdr:row>
      <xdr:rowOff>107156</xdr:rowOff>
    </xdr:from>
    <xdr:to>
      <xdr:col>12</xdr:col>
      <xdr:colOff>125016</xdr:colOff>
      <xdr:row>9</xdr:row>
      <xdr:rowOff>107156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9EDAA3D5-B297-E5A0-092C-196D8CD5B0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5</xdr:col>
      <xdr:colOff>136922</xdr:colOff>
      <xdr:row>0</xdr:row>
      <xdr:rowOff>35716</xdr:rowOff>
    </xdr:from>
    <xdr:to>
      <xdr:col>7</xdr:col>
      <xdr:colOff>297656</xdr:colOff>
      <xdr:row>0</xdr:row>
      <xdr:rowOff>440531</xdr:rowOff>
    </xdr:to>
    <xdr:sp macro="" textlink="">
      <xdr:nvSpPr>
        <xdr:cNvPr id="11" name="Retângulo: Cantos Arredondados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77C968-9AA7-4952-AE3B-BE401FE557A3}"/>
            </a:ext>
          </a:extLst>
        </xdr:cNvPr>
        <xdr:cNvSpPr/>
      </xdr:nvSpPr>
      <xdr:spPr>
        <a:xfrm>
          <a:off x="3935016" y="35716"/>
          <a:ext cx="1178718" cy="40481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DEVEM</a:t>
          </a:r>
        </a:p>
      </xdr:txBody>
    </xdr:sp>
    <xdr:clientData/>
  </xdr:twoCellAnchor>
  <xdr:twoCellAnchor editAs="absolute">
    <xdr:from>
      <xdr:col>5</xdr:col>
      <xdr:colOff>136922</xdr:colOff>
      <xdr:row>0</xdr:row>
      <xdr:rowOff>476251</xdr:rowOff>
    </xdr:from>
    <xdr:to>
      <xdr:col>7</xdr:col>
      <xdr:colOff>297656</xdr:colOff>
      <xdr:row>0</xdr:row>
      <xdr:rowOff>884635</xdr:rowOff>
    </xdr:to>
    <xdr:sp macro="" textlink="">
      <xdr:nvSpPr>
        <xdr:cNvPr id="10" name="Retângulo: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E2DE697-93F4-4C30-8988-0120D49EF701}"/>
            </a:ext>
          </a:extLst>
        </xdr:cNvPr>
        <xdr:cNvSpPr/>
      </xdr:nvSpPr>
      <xdr:spPr>
        <a:xfrm>
          <a:off x="3935016" y="476251"/>
          <a:ext cx="1178718" cy="408384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DEVO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4</xdr:row>
      <xdr:rowOff>19049</xdr:rowOff>
    </xdr:from>
    <xdr:to>
      <xdr:col>11</xdr:col>
      <xdr:colOff>1133475</xdr:colOff>
      <xdr:row>4</xdr:row>
      <xdr:rowOff>476249</xdr:rowOff>
    </xdr:to>
    <xdr:sp macro="[0]!LançarDadosParaTabelaENTRADAINDIVIDU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E70669B-DA9B-7A1B-8A26-435B070A584A}"/>
            </a:ext>
          </a:extLst>
        </xdr:cNvPr>
        <xdr:cNvSpPr/>
      </xdr:nvSpPr>
      <xdr:spPr>
        <a:xfrm>
          <a:off x="7915275" y="1285874"/>
          <a:ext cx="3743325" cy="4572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285750" indent="-285750" algn="ctr">
            <a:buFont typeface="Arial" panose="020B0604020202020204" pitchFamily="34" charset="0"/>
            <a:buChar char="•"/>
          </a:pPr>
          <a:r>
            <a:rPr lang="pt-BR" sz="1600" b="1">
              <a:solidFill>
                <a:sysClr val="windowText" lastClr="000000"/>
              </a:solidFill>
              <a:effectLst>
                <a:reflection blurRad="50800" stA="33000" endPos="0" dist="25400" dir="5400000" sy="-100000" algn="bl" rotWithShape="0"/>
              </a:effectLst>
            </a:rPr>
            <a:t>Lançar</a:t>
          </a:r>
        </a:p>
      </xdr:txBody>
    </xdr:sp>
    <xdr:clientData/>
  </xdr:twoCellAnchor>
  <xdr:twoCellAnchor>
    <xdr:from>
      <xdr:col>11</xdr:col>
      <xdr:colOff>38101</xdr:colOff>
      <xdr:row>3</xdr:row>
      <xdr:rowOff>22501</xdr:rowOff>
    </xdr:from>
    <xdr:to>
      <xdr:col>11</xdr:col>
      <xdr:colOff>1140711</xdr:colOff>
      <xdr:row>3</xdr:row>
      <xdr:rowOff>276225</xdr:rowOff>
    </xdr:to>
    <xdr:sp macro="[0]!MPEntrad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23C5865D-EB7B-4994-B86C-EBD7FC26FCAD}"/>
            </a:ext>
          </a:extLst>
        </xdr:cNvPr>
        <xdr:cNvSpPr/>
      </xdr:nvSpPr>
      <xdr:spPr>
        <a:xfrm>
          <a:off x="10401301" y="765451"/>
          <a:ext cx="1102610" cy="253724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ysClr val="windowText" lastClr="000000"/>
              </a:solidFill>
            </a:rPr>
            <a:t>MP</a:t>
          </a:r>
        </a:p>
      </xdr:txBody>
    </xdr:sp>
    <xdr:clientData/>
  </xdr:twoCellAnchor>
  <xdr:twoCellAnchor>
    <xdr:from>
      <xdr:col>8</xdr:col>
      <xdr:colOff>19311</xdr:colOff>
      <xdr:row>3</xdr:row>
      <xdr:rowOff>6664</xdr:rowOff>
    </xdr:from>
    <xdr:to>
      <xdr:col>8</xdr:col>
      <xdr:colOff>805851</xdr:colOff>
      <xdr:row>3</xdr:row>
      <xdr:rowOff>179235</xdr:rowOff>
    </xdr:to>
    <xdr:sp macro="[0]!LancamentoDataHojeEntradaIndividual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EEAAF965-223C-4745-8E3A-1BF61CB0F3C1}"/>
            </a:ext>
          </a:extLst>
        </xdr:cNvPr>
        <xdr:cNvSpPr/>
      </xdr:nvSpPr>
      <xdr:spPr>
        <a:xfrm>
          <a:off x="7858735" y="747220"/>
          <a:ext cx="786540" cy="172571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HOJE</a:t>
          </a:r>
        </a:p>
      </xdr:txBody>
    </xdr:sp>
    <xdr:clientData/>
  </xdr:twoCellAnchor>
  <xdr:twoCellAnchor>
    <xdr:from>
      <xdr:col>8</xdr:col>
      <xdr:colOff>17451</xdr:colOff>
      <xdr:row>3</xdr:row>
      <xdr:rowOff>184426</xdr:rowOff>
    </xdr:from>
    <xdr:to>
      <xdr:col>8</xdr:col>
      <xdr:colOff>805851</xdr:colOff>
      <xdr:row>3</xdr:row>
      <xdr:rowOff>357226</xdr:rowOff>
    </xdr:to>
    <xdr:sp macro="[0]!LancamentoOntemEntradaIndividual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8953322-CDBF-46A0-A892-3ADE24E0C533}"/>
            </a:ext>
          </a:extLst>
        </xdr:cNvPr>
        <xdr:cNvSpPr/>
      </xdr:nvSpPr>
      <xdr:spPr>
        <a:xfrm>
          <a:off x="7856875" y="924982"/>
          <a:ext cx="788400" cy="1728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ONTEM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4</xdr:row>
      <xdr:rowOff>28574</xdr:rowOff>
    </xdr:from>
    <xdr:to>
      <xdr:col>3</xdr:col>
      <xdr:colOff>1019175</xdr:colOff>
      <xdr:row>4</xdr:row>
      <xdr:rowOff>485774</xdr:rowOff>
    </xdr:to>
    <xdr:sp macro="[0]!LançarDadoÁPlanilhaSái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14D0FB8-4A6C-9576-B6B4-0754F4D73174}"/>
            </a:ext>
          </a:extLst>
        </xdr:cNvPr>
        <xdr:cNvSpPr/>
      </xdr:nvSpPr>
      <xdr:spPr>
        <a:xfrm>
          <a:off x="28576" y="1295399"/>
          <a:ext cx="4791074" cy="4572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171450" indent="-171450" algn="ctr">
            <a:buFont typeface="Arial" panose="020B0604020202020204" pitchFamily="34" charset="0"/>
            <a:buChar char="•"/>
          </a:pPr>
          <a:r>
            <a:rPr lang="pt-BR" sz="1600" b="1">
              <a:solidFill>
                <a:sysClr val="windowText" lastClr="000000"/>
              </a:solidFill>
            </a:rPr>
            <a:t>LANÇAR</a:t>
          </a:r>
        </a:p>
      </xdr:txBody>
    </xdr:sp>
    <xdr:clientData/>
  </xdr:twoCellAnchor>
  <xdr:twoCellAnchor>
    <xdr:from>
      <xdr:col>2</xdr:col>
      <xdr:colOff>17245</xdr:colOff>
      <xdr:row>3</xdr:row>
      <xdr:rowOff>41910</xdr:rowOff>
    </xdr:from>
    <xdr:to>
      <xdr:col>2</xdr:col>
      <xdr:colOff>890300</xdr:colOff>
      <xdr:row>3</xdr:row>
      <xdr:rowOff>213360</xdr:rowOff>
    </xdr:to>
    <xdr:sp macro="[0]!ItauSai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8A3503-B8B1-A439-22E6-488184AA5163}"/>
            </a:ext>
          </a:extLst>
        </xdr:cNvPr>
        <xdr:cNvSpPr/>
      </xdr:nvSpPr>
      <xdr:spPr>
        <a:xfrm>
          <a:off x="2017495" y="784860"/>
          <a:ext cx="873055" cy="1714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ITAÚ</a:t>
          </a:r>
        </a:p>
      </xdr:txBody>
    </xdr:sp>
    <xdr:clientData/>
  </xdr:twoCellAnchor>
  <xdr:twoCellAnchor>
    <xdr:from>
      <xdr:col>0</xdr:col>
      <xdr:colOff>19991</xdr:colOff>
      <xdr:row>3</xdr:row>
      <xdr:rowOff>18674</xdr:rowOff>
    </xdr:from>
    <xdr:to>
      <xdr:col>0</xdr:col>
      <xdr:colOff>1070624</xdr:colOff>
      <xdr:row>3</xdr:row>
      <xdr:rowOff>190124</xdr:rowOff>
    </xdr:to>
    <xdr:sp macro="[0]!LancamentosDataHojeSaida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9D51986-D58B-033E-8F36-FEC626696CC5}"/>
            </a:ext>
          </a:extLst>
        </xdr:cNvPr>
        <xdr:cNvSpPr/>
      </xdr:nvSpPr>
      <xdr:spPr>
        <a:xfrm>
          <a:off x="19991" y="755608"/>
          <a:ext cx="1050633" cy="1714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HOJE</a:t>
          </a:r>
        </a:p>
      </xdr:txBody>
    </xdr:sp>
    <xdr:clientData/>
  </xdr:twoCellAnchor>
  <xdr:twoCellAnchor>
    <xdr:from>
      <xdr:col>0</xdr:col>
      <xdr:colOff>19424</xdr:colOff>
      <xdr:row>3</xdr:row>
      <xdr:rowOff>198146</xdr:rowOff>
    </xdr:from>
    <xdr:to>
      <xdr:col>0</xdr:col>
      <xdr:colOff>1070624</xdr:colOff>
      <xdr:row>3</xdr:row>
      <xdr:rowOff>370946</xdr:rowOff>
    </xdr:to>
    <xdr:sp macro="[0]!LancamentoDataOntemSaida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5A2971C-13F1-47E4-ACE6-DB8D0E252010}"/>
            </a:ext>
          </a:extLst>
        </xdr:cNvPr>
        <xdr:cNvSpPr/>
      </xdr:nvSpPr>
      <xdr:spPr>
        <a:xfrm>
          <a:off x="19424" y="935080"/>
          <a:ext cx="1051200" cy="1728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ONTEM</a:t>
          </a:r>
        </a:p>
      </xdr:txBody>
    </xdr:sp>
    <xdr:clientData/>
  </xdr:twoCellAnchor>
  <xdr:twoCellAnchor>
    <xdr:from>
      <xdr:col>4</xdr:col>
      <xdr:colOff>47624</xdr:colOff>
      <xdr:row>4</xdr:row>
      <xdr:rowOff>28574</xdr:rowOff>
    </xdr:from>
    <xdr:to>
      <xdr:col>4</xdr:col>
      <xdr:colOff>1200149</xdr:colOff>
      <xdr:row>4</xdr:row>
      <xdr:rowOff>485774</xdr:rowOff>
    </xdr:to>
    <xdr:sp macro="[0]!AumentarLinhasSaidasComum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DF96BF45-D6DB-9B88-3076-14C545C92C30}"/>
            </a:ext>
          </a:extLst>
        </xdr:cNvPr>
        <xdr:cNvSpPr/>
      </xdr:nvSpPr>
      <xdr:spPr>
        <a:xfrm>
          <a:off x="4886324" y="1457324"/>
          <a:ext cx="1152525" cy="45720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FF0000"/>
              </a:solidFill>
            </a:rPr>
            <a:t>Aumentar</a:t>
          </a:r>
        </a:p>
      </xdr:txBody>
    </xdr:sp>
    <xdr:clientData/>
  </xdr:twoCellAnchor>
  <xdr:twoCellAnchor>
    <xdr:from>
      <xdr:col>2</xdr:col>
      <xdr:colOff>922120</xdr:colOff>
      <xdr:row>3</xdr:row>
      <xdr:rowOff>35894</xdr:rowOff>
    </xdr:from>
    <xdr:to>
      <xdr:col>2</xdr:col>
      <xdr:colOff>1795175</xdr:colOff>
      <xdr:row>3</xdr:row>
      <xdr:rowOff>207344</xdr:rowOff>
    </xdr:to>
    <xdr:sp macro="[0]!Módulo5.MpSaida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2BDF9A9-110A-470D-94BE-580349514995}"/>
            </a:ext>
          </a:extLst>
        </xdr:cNvPr>
        <xdr:cNvSpPr/>
      </xdr:nvSpPr>
      <xdr:spPr>
        <a:xfrm>
          <a:off x="2922370" y="778844"/>
          <a:ext cx="873055" cy="1714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MP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odrigo Escobar" id="{C44137BF-8A29-4DA5-A6EF-E7382CBC889E}" userId="0cf4c609798da2b0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333DE2-7161-46E7-952E-D347218B7C63}" name="TbInterJunho" displayName="TbInterJunho" ref="A15:B18" totalsRowShown="0">
  <autoFilter ref="A15:B18" xr:uid="{E5333DE2-7161-46E7-952E-D347218B7C63}"/>
  <tableColumns count="2">
    <tableColumn id="1" xr3:uid="{D57C5390-BBD8-4120-963A-859D1C460248}" name="JULHO"/>
    <tableColumn id="2" xr3:uid="{A28ABD5D-508F-4A05-BA0B-5E14B9AF0BB3}" name="01/07/2022 - 31/07/20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1E3BC0-E6CD-4ECD-8AC0-5B4FD88AE012}" name="TbInterAgosto" displayName="TbInterAgosto" ref="D15:E18" totalsRowShown="0">
  <autoFilter ref="D15:E18" xr:uid="{FD1E3BC0-E6CD-4ECD-8AC0-5B4FD88AE012}"/>
  <tableColumns count="2">
    <tableColumn id="1" xr3:uid="{1D3E284D-B350-44A8-BDD5-F7B8F9F6DE8A}" name="AGOSTO"/>
    <tableColumn id="2" xr3:uid="{FC2F7D50-4656-4BAC-AED1-FE7F55CBA1B6}" name="01/08/2022 - 30/08/20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1B42FF2-0792-4817-9B7A-FA54B6F25862}" name="TbInterSetembro" displayName="TbInterSetembro" ref="G15:H18" totalsRowShown="0">
  <autoFilter ref="G15:H18" xr:uid="{D1B42FF2-0792-4817-9B7A-FA54B6F25862}"/>
  <tableColumns count="2">
    <tableColumn id="1" xr3:uid="{3131F7AA-158A-47CA-A2D8-7FD1E98C3799}" name="SETEMBRO"/>
    <tableColumn id="2" xr3:uid="{CDF4B6F0-7189-4CD2-B510-21BA1E21A857}" name="01/09/2022 - 31/09/20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AA16B6-13AF-4259-9818-877B08E24031}" name="TbInterOutubro" displayName="TbInterOutubro" ref="A20:B23" totalsRowShown="0">
  <autoFilter ref="A20:B23" xr:uid="{83AA16B6-13AF-4259-9818-877B08E24031}"/>
  <tableColumns count="2">
    <tableColumn id="1" xr3:uid="{B620AB2D-C37D-4B9F-8F1B-A1408D2BE3E9}" name="OUTUBRO"/>
    <tableColumn id="2" xr3:uid="{03DD9845-CB74-43F9-9A65-332AEAEFD6CF}" name="01/09/2022 - 31/09/20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2D2C85-EDF4-43AF-8188-DC4D071C07D4}" name="TbInterNovembro" displayName="TbInterNovembro" ref="D20:E23" totalsRowShown="0">
  <autoFilter ref="D20:E23" xr:uid="{7D2D2C85-EDF4-43AF-8188-DC4D071C07D4}"/>
  <tableColumns count="2">
    <tableColumn id="1" xr3:uid="{E84A5A4B-9C5E-4E0E-9387-9A33DD23B7D1}" name="NOVEMBRO"/>
    <tableColumn id="2" xr3:uid="{460D89D6-58D1-46AA-BECE-51DC58DD0192}" name="01/09/2022 - 31/09/20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444E5CA-DBA7-4A6E-AE86-37078A94E914}" name="TbInterDezembro" displayName="TbInterDezembro" ref="G20:H23" totalsRowShown="0">
  <autoFilter ref="G20:H23" xr:uid="{5444E5CA-DBA7-4A6E-AE86-37078A94E914}"/>
  <tableColumns count="2">
    <tableColumn id="1" xr3:uid="{265172CC-8AA2-4003-BF9B-B5DD7478AE9C}" name="DEZEMBRO"/>
    <tableColumn id="2" xr3:uid="{6EE66C8A-93BC-4432-B7C8-DF2A5A4EB8C0}" name="01/09/2022 - 31/09/202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DDE68A0-B26B-411B-8D4C-0BCC57F4C15C}" name="TbInterJunho20" displayName="TbInterJunho20" ref="A5:B8" totalsRowShown="0">
  <autoFilter ref="A5:B8" xr:uid="{6DDE68A0-B26B-411B-8D4C-0BCC57F4C15C}"/>
  <tableColumns count="2">
    <tableColumn id="1" xr3:uid="{9680ED00-F708-48A6-8B0C-2EFCA1CC9946}" name="JANEIRO"/>
    <tableColumn id="2" xr3:uid="{FFAB8D8E-4829-4C6F-BEDC-F785910F9D70}" name="01/07/2022 - 31/07/20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4D351CA-F1A7-4459-9E2C-EA741BB408CD}" name="TbInterAgosto21" displayName="TbInterAgosto21" ref="D5:E8" totalsRowShown="0">
  <autoFilter ref="D5:E8" xr:uid="{04D351CA-F1A7-4459-9E2C-EA741BB408CD}"/>
  <tableColumns count="2">
    <tableColumn id="1" xr3:uid="{1083D43D-CDD0-4A5E-A38D-CA9CB06E1468}" name="FEVEREIRO"/>
    <tableColumn id="2" xr3:uid="{56E879EF-D193-42E0-A8DD-FF638482C570}" name="01/08/2022 - 30/08/20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278ABF8-752D-4496-95E0-1CF6D06FCD77}" name="TbInterSetembro22" displayName="TbInterSetembro22" ref="G5:H8" totalsRowShown="0">
  <autoFilter ref="G5:H8" xr:uid="{4278ABF8-752D-4496-95E0-1CF6D06FCD77}"/>
  <tableColumns count="2">
    <tableColumn id="1" xr3:uid="{453D088D-7985-4412-8584-C08CCD144946}" name="MARÇO"/>
    <tableColumn id="2" xr3:uid="{3CBC49CB-F5B1-4A98-B1CC-45C6D6E55163}" name="01/09/2022 - 31/09/20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20C72F9-1C8E-4F2B-9827-765404AE0110}" name="TbInterOutubro23" displayName="TbInterOutubro23" ref="A10:B13" totalsRowShown="0">
  <autoFilter ref="A10:B13" xr:uid="{D20C72F9-1C8E-4F2B-9827-765404AE0110}"/>
  <tableColumns count="2">
    <tableColumn id="1" xr3:uid="{C58923CC-AA21-4FCA-8055-2D94C4DB08CF}" name="ABRIL"/>
    <tableColumn id="2" xr3:uid="{549A5F25-4D50-4FC5-98C6-650E816CDAEA}" name="01/09/2022 - 31/09/202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425569B-9B90-461E-B61B-7BE87B60FA65}" name="TbInterNovembro24" displayName="TbInterNovembro24" ref="D10:E13" totalsRowShown="0">
  <autoFilter ref="D10:E13" xr:uid="{2425569B-9B90-461E-B61B-7BE87B60FA65}"/>
  <tableColumns count="2">
    <tableColumn id="1" xr3:uid="{5A96A42A-FB9D-4936-9793-12BB6BBE43A2}" name="MAIO"/>
    <tableColumn id="2" xr3:uid="{BD8168FE-81FC-474B-BDF1-716745D147F0}" name="01/09/2022 - 31/09/202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AF07115-62D1-493B-922A-2A6339924CA2}" name="TbInterDezembro25" displayName="TbInterDezembro25" ref="G10:H13" totalsRowShown="0">
  <autoFilter ref="G10:H13" xr:uid="{5AF07115-62D1-493B-922A-2A6339924CA2}"/>
  <tableColumns count="2">
    <tableColumn id="1" xr3:uid="{12034B50-13AA-4727-8217-DAEDDF03CDDC}" name="JUNHO"/>
    <tableColumn id="2" xr3:uid="{8FC2405D-D7CD-43B2-B01E-1143EB50F751}" name="01/09/2022 - 31/09/20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73AA35-FE93-438C-96CD-4F99AF25FF7C}" name="TbItauJunho" displayName="TbItauJunho" ref="A5:B8" totalsRowShown="0">
  <autoFilter ref="A5:B8" xr:uid="{8E73AA35-FE93-438C-96CD-4F99AF25FF7C}"/>
  <tableColumns count="2">
    <tableColumn id="1" xr3:uid="{AB14D4D1-6E59-4F01-8B03-37F83D13BF65}" name="JANEIRO"/>
    <tableColumn id="2" xr3:uid="{C0383854-8ED0-4BA9-BF34-BF5D25BAFA19}" name="01/07/2022 - 31/07/20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A1374A8-71EB-4F8A-8ED4-E1EDD441046B}" name="TbItauAgosto" displayName="TbItauAgosto" ref="D5:E8" totalsRowShown="0">
  <autoFilter ref="D5:E8" xr:uid="{4A1374A8-71EB-4F8A-8ED4-E1EDD441046B}"/>
  <tableColumns count="2">
    <tableColumn id="1" xr3:uid="{421B1DC2-31FF-4010-B2DE-4DD9E4124176}" name="FEVEREIRO"/>
    <tableColumn id="2" xr3:uid="{A2E1C0A7-D022-491C-9BE8-F0E3D96E5641}" name="01/08/2022 - 30/08/20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F90D5BB-EDB3-48CA-8BEA-24E22E854DD0}" name="TbItauSetembro" displayName="TbItauSetembro" ref="G5:H8" totalsRowShown="0">
  <autoFilter ref="G5:H8" xr:uid="{EF90D5BB-EDB3-48CA-8BEA-24E22E854DD0}"/>
  <tableColumns count="2">
    <tableColumn id="1" xr3:uid="{257F7C40-F34F-48C4-95A1-3E8E6371A477}" name="MARÇO"/>
    <tableColumn id="2" xr3:uid="{FD1C6D50-84F5-4067-B8C1-B163F11C66F0}" name="01/09/2022 - 31/09/20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B64509F-9B2F-4D7E-BA6C-2DB48F7C220F}" name="TbItauOutubro" displayName="TbItauOutubro" ref="A10:B13" totalsRowShown="0">
  <autoFilter ref="A10:B13" xr:uid="{FB64509F-9B2F-4D7E-BA6C-2DB48F7C220F}"/>
  <tableColumns count="2">
    <tableColumn id="1" xr3:uid="{68B3517C-919E-4676-A75B-B93EE7858DA2}" name="ABRIL"/>
    <tableColumn id="2" xr3:uid="{A7A4DE73-892F-4E28-BAF5-D8F5030BCC4C}" name="01/09/2022 - 31/09/20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2DFC3DF-BD74-414D-8197-DFE7B1892D0A}" name="TbItauNovembro" displayName="TbItauNovembro" ref="D10:E13" totalsRowShown="0">
  <autoFilter ref="D10:E13" xr:uid="{92DFC3DF-BD74-414D-8197-DFE7B1892D0A}"/>
  <tableColumns count="2">
    <tableColumn id="1" xr3:uid="{903AAB30-30C1-47B7-B9C3-5257A47F0A5A}" name="MAIO"/>
    <tableColumn id="2" xr3:uid="{AC5CD0C2-EF9C-4CE6-A7D0-14F6D39C2DA6}" name="01/09/2022 - 31/09/202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3D3605-1B6A-41FC-9147-E55A25644DE3}" name="TbItauDezembro" displayName="TbItauDezembro" ref="G10:H13" totalsRowShown="0">
  <autoFilter ref="G10:H13" xr:uid="{753D3605-1B6A-41FC-9147-E55A25644DE3}"/>
  <tableColumns count="2">
    <tableColumn id="1" xr3:uid="{D7193A6A-2FF4-412A-B314-D7027E7D87BA}" name="JUNHO"/>
    <tableColumn id="2" xr3:uid="{622EC01E-65A1-4C78-9665-58AE9F5512F7}" name="01/09/2022 - 31/09/202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C0012D-2766-468F-B0DE-F8C19D82CB7A}" name="TbItauJunho26" displayName="TbItauJunho26" ref="A15:B18" totalsRowShown="0">
  <autoFilter ref="A15:B18" xr:uid="{1AC0012D-2766-468F-B0DE-F8C19D82CB7A}"/>
  <tableColumns count="2">
    <tableColumn id="1" xr3:uid="{DE418DEA-F348-49A6-9628-309718ADC137}" name="JULHO"/>
    <tableColumn id="2" xr3:uid="{EFB62399-E392-4711-8250-F9B62FDDE740}" name="01/07/2022 - 31/07/202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B870195-9459-42DF-919C-D59CD50FAD4F}" name="TbItauAgosto27" displayName="TbItauAgosto27" ref="D15:E18" totalsRowShown="0">
  <autoFilter ref="D15:E18" xr:uid="{6B870195-9459-42DF-919C-D59CD50FAD4F}"/>
  <tableColumns count="2">
    <tableColumn id="1" xr3:uid="{E112390A-E158-4F98-9005-3A3773A04B0F}" name="AGOSTO"/>
    <tableColumn id="2" xr3:uid="{65E2C47E-E412-4190-A80B-9B4E46C78E54}" name="01/08/2022 - 30/08/202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31B6D8F-6DFB-4E2D-8350-CF56CCD7BED2}" name="TbItauSetembro28" displayName="TbItauSetembro28" ref="G15:H18" totalsRowShown="0">
  <autoFilter ref="G15:H18" xr:uid="{F31B6D8F-6DFB-4E2D-8350-CF56CCD7BED2}"/>
  <tableColumns count="2">
    <tableColumn id="1" xr3:uid="{58A06DA3-2E73-4F78-A96F-848E3F728D77}" name="SETEMBRO"/>
    <tableColumn id="2" xr3:uid="{C2E032C9-67A6-4D64-8D91-311DADE03FC9}" name="01/09/2022 - 31/09/202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CF6F7FF-DEF2-4B70-B2FC-AE3A51D928AE}" name="TbItauOutubro29" displayName="TbItauOutubro29" ref="A20:B23" totalsRowShown="0">
  <autoFilter ref="A20:B23" xr:uid="{ECF6F7FF-DEF2-4B70-B2FC-AE3A51D928AE}"/>
  <tableColumns count="2">
    <tableColumn id="1" xr3:uid="{1089CC5F-E09F-45D7-BEA2-6D8CB8F3AF18}" name="OUTRUBRO"/>
    <tableColumn id="2" xr3:uid="{BCEFB8B6-DCF8-45DE-B369-40AF11337394}" name="01/09/2022 - 31/09/202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ABF641D-BEEC-4781-A4F0-0D3B744E3075}" name="TbItauNovembro30" displayName="TbItauNovembro30" ref="D20:E23" totalsRowShown="0">
  <autoFilter ref="D20:E23" xr:uid="{1ABF641D-BEEC-4781-A4F0-0D3B744E3075}"/>
  <tableColumns count="2">
    <tableColumn id="1" xr3:uid="{BFC12C8D-9D94-4C71-8AE4-0647BC64F885}" name="NOVEMBRO"/>
    <tableColumn id="2" xr3:uid="{7856519C-9F0F-4576-86F8-5956D934E44A}" name="01/09/2022 - 31/09/20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0303528-657E-4117-98F7-5A6EB36B4DAD}" name="TbItauDezembro31" displayName="TbItauDezembro31" ref="G20:H23" totalsRowShown="0">
  <autoFilter ref="G20:H23" xr:uid="{B0303528-657E-4117-98F7-5A6EB36B4DAD}"/>
  <tableColumns count="2">
    <tableColumn id="1" xr3:uid="{9F8C7B0D-C526-4C91-BB56-B372164A2C26}" name="DEZEMBRO"/>
    <tableColumn id="2" xr3:uid="{EE60D56F-A73A-49B0-B542-FD763A69E1C3}" name="01/09/2022 - 31/09/202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FB9BC-086D-4832-9AFB-57522FB79F0A}" name="TbEntradaINDIVIDUAL" displayName="TbEntradaINDIVIDUAL" ref="I8:M101" totalsRowCount="1" headerRowDxfId="64" headerRowBorderDxfId="63" tableBorderDxfId="62">
  <autoFilter ref="I8:M100" xr:uid="{0D3FB9BC-086D-4832-9AFB-57522FB79F0A}"/>
  <tableColumns count="5">
    <tableColumn id="1" xr3:uid="{5FCB2113-6A32-4C9F-BA4A-2D9489E9BB3C}" name="DATA" totalsRowLabel="Total" dataDxfId="61"/>
    <tableColumn id="2" xr3:uid="{E4F0B5F3-4806-43DC-B152-CD1F558A661E}" name="MÊS" dataDxfId="60">
      <calculatedColumnFormula>MONTH(TbEntradaINDIVIDUAL[[#This Row],[DATA]])</calculatedColumnFormula>
    </tableColumn>
    <tableColumn id="3" xr3:uid="{2C6E4E50-3C7D-4CDB-9AAE-C4BCAAF54381}" name="DESCRIÇÃO"/>
    <tableColumn id="4" xr3:uid="{7C41A408-730A-4C91-A52A-C54EF54F5016}" name="VALOR" totalsRowFunction="sum" dataDxfId="59" totalsRowDxfId="58"/>
    <tableColumn id="5" xr3:uid="{349569E1-38CC-4A49-B4B4-E5CFB007E865}" name="ONDE ENTRA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48F9C0-A70C-46F0-9086-AD3EF330C0AB}" name="TbSaida" displayName="TbSaida" ref="A8:E474" totalsRowCount="1" headerRowDxfId="57" headerRowBorderDxfId="56" tableBorderDxfId="55">
  <autoFilter ref="A8:E473" xr:uid="{F848F9C0-A70C-46F0-9086-AD3EF330C0AB}"/>
  <tableColumns count="5">
    <tableColumn id="1" xr3:uid="{2155F2B1-6019-40BE-AA3C-5E7E5E93EC82}" name="DATA" totalsRowLabel="Total" dataDxfId="54"/>
    <tableColumn id="2" xr3:uid="{D5BA4F26-373F-41FE-94F2-DAAD4909D14F}" name="MÊS"/>
    <tableColumn id="3" xr3:uid="{D518867D-0878-41B6-9E02-63E9856F4C8C}" name="DESCRIÇÃO" totalsRowFunction="count"/>
    <tableColumn id="5" xr3:uid="{8E44AE9E-50BE-49FC-8960-433FDBE8A52A}" name="BANCO"/>
    <tableColumn id="4" xr3:uid="{1422994C-54FB-4505-87A1-8060E9E66924}" name="VALOR" totalsRowFunction="sum" dataDxfId="53" totalsRowDxfId="5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9DB3F21-4E51-43B2-828B-6131A880F1C5}" name="TbInvesSteam" displayName="TbInvesSteam" ref="A5:F101" totalsRowCount="1">
  <autoFilter ref="A5:F100" xr:uid="{051DCBAE-EB58-43CC-A7D3-E32D069800CD}"/>
  <tableColumns count="6">
    <tableColumn id="1" xr3:uid="{95BF2D29-DA2B-4F4C-BBE2-9BF239EEDC20}" name="DATA" totalsRowLabel="Total" dataDxfId="51"/>
    <tableColumn id="2" xr3:uid="{41DC3243-C3CD-473A-8D28-227ABFCA3B63}" name="Descrição" totalsRowFunction="count"/>
    <tableColumn id="6" xr3:uid="{CC616096-8590-4096-9273-D3ACF187CF5C}" name="Saiu da onde"/>
    <tableColumn id="3" xr3:uid="{889D2030-9BB7-47BF-9E51-EE94A60A975F}" name="Quantidade" totalsRowFunction="sum" dataDxfId="50" totalsRowDxfId="49"/>
    <tableColumn id="4" xr3:uid="{45159BDD-F7E7-4A4E-AA32-419C024E9207}" name="Valor aplicado:" totalsRowFunction="sum" dataDxfId="48" totalsRowDxfId="47"/>
    <tableColumn id="5" xr3:uid="{26EE2464-DA86-4C39-96A7-7836015BD309}" name="Valor Lucrado:" totalsRowFunction="sum" dataDxfId="46" totalsRowDxfId="45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3CE22E1-9C64-41A4-B176-2A72CE5B832A}" name="TbInvestimentoCDB" displayName="TbInvestimentoCDB" ref="H5:AH37" totalsRowShown="0" headerRowDxfId="44">
  <autoFilter ref="H5:AH37" xr:uid="{D0A8C83E-FCAA-4213-88A3-E961ED127BDE}"/>
  <tableColumns count="27">
    <tableColumn id="11" xr3:uid="{9323E419-FDCC-47BA-BFED-934C80329201}" name="Dara/Mês" dataDxfId="43"/>
    <tableColumn id="24" xr3:uid="{4315D988-EC8B-401D-BAFB-4E652DC597F5}" name="Internet celular cartao MP" dataDxfId="42"/>
    <tableColumn id="5" xr3:uid="{8A72B652-E7F9-4471-B16C-221A01107E80}" name="HBO" dataDxfId="41"/>
    <tableColumn id="25" xr3:uid="{68368EF3-3458-4ADC-B368-B72E7ADFFE97}" name="Claude" dataDxfId="40"/>
    <tableColumn id="18" xr3:uid="{E2F0368C-148F-42A1-8986-4B1AA12410A7}" name="Meli+" dataDxfId="39"/>
    <tableColumn id="2" xr3:uid="{26ED1345-8991-467C-97A7-66AFEE88B852}" name="Seguro cartao MP" dataDxfId="38"/>
    <tableColumn id="23" xr3:uid="{F1F4B5BD-2678-4396-B107-DEF88F8548D6}" name="Seguro Focus cartao MP" dataDxfId="37"/>
    <tableColumn id="13" xr3:uid="{A8AD0576-DF07-4904-910A-68CAB72CDD49}" name="armario cartao MP" dataDxfId="36"/>
    <tableColumn id="6" xr3:uid="{6947A699-D2B1-430A-9568-34244E6C3E5E}" name="Licenciamento Focus" dataDxfId="35"/>
    <tableColumn id="10" xr3:uid="{D8F203D0-966E-4D56-89C2-E4F6B135CF80}" name="Contas casa" dataDxfId="34"/>
    <tableColumn id="17" xr3:uid="{78E5E0EA-532A-4FCD-A8DD-2B1289C6A5C5}" name="Reseva casa" dataDxfId="33"/>
    <tableColumn id="3" xr3:uid="{C1827CA3-2EC7-4F14-A76A-5516FB8D2637}" name="Emergências Carro" dataDxfId="32"/>
    <tableColumn id="20" xr3:uid="{95FB5092-CFAE-41D8-8766-E96BF93AE24A}" name="Presentes" dataDxfId="31"/>
    <tableColumn id="4" xr3:uid="{6C65A9A3-28BF-4B15-8A76-2CCD1A1AD015}" name="Viagem" dataDxfId="30"/>
    <tableColumn id="9" xr3:uid="{F40A24BD-BF6A-49BD-A5BB-3DBF4B219993}" name="Estudonauta cartao mp" dataDxfId="29"/>
    <tableColumn id="28" xr3:uid="{E39F19E8-17F6-48F1-8A0D-EA5E9D31A8E4}" name="Netflix" dataDxfId="28"/>
    <tableColumn id="22" xr3:uid="{E4314295-92F4-4E5A-94BB-1A0BFBA10C09}" name="Gasto livre" dataDxfId="27"/>
    <tableColumn id="27" xr3:uid="{A0F19315-21CD-4581-8D46-792A508B1169}" name="Cesta Inteligente" dataDxfId="26"/>
    <tableColumn id="7" xr3:uid="{CBD3583E-9D8B-41ED-BBA3-5C8CAB2F1EAC}" name="Bitcoin" dataDxfId="25"/>
    <tableColumn id="8" xr3:uid="{9BD2610D-96D1-4A79-8E3C-17444F92CE9A}" name="EuroCoin" dataDxfId="24"/>
    <tableColumn id="14" xr3:uid="{3B1EFDCA-A7BB-4F3B-AB82-735B775290A5}" name="BTHF11" dataDxfId="23"/>
    <tableColumn id="15" xr3:uid="{054358FF-25B5-4090-9A31-390A967D9CD6}" name="WRLD11" dataDxfId="22"/>
    <tableColumn id="16" xr3:uid="{89F1D8C3-D9A4-476B-BCDE-A47FC75BD26E}" name="NVDC34" dataDxfId="21"/>
    <tableColumn id="1" xr3:uid="{165CAFB1-0DC2-4605-9E01-6D4038521E4C}" name="VGHF11" dataDxfId="20"/>
    <tableColumn id="12" xr3:uid="{6373B677-715E-4E7F-8978-FD815E0C0048}" name="MXRF11" dataDxfId="19"/>
    <tableColumn id="19" xr3:uid="{ECE6BC89-D407-4541-BC24-912307ABF36F}" name="CDI MP" dataDxfId="18"/>
    <tableColumn id="21" xr3:uid="{B2E8463A-8831-4CE7-871E-517DD61137F2}" name="Total" dataDxfId="17">
      <calculatedColumnFormula>SUM(TbInvestimentoCDB[[#This Row],[Internet celular cartao MP]:[CDI MP]])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18589-3399-4B82-AD6A-5B8C74E76440}" name="Tabela2" displayName="Tabela2" ref="G3:P34" totalsRowShown="0" tableBorderDxfId="16">
  <autoFilter ref="G3:P34" xr:uid="{05E18589-3399-4B82-AD6A-5B8C74E76440}"/>
  <tableColumns count="10">
    <tableColumn id="9" xr3:uid="{FE9CDAF8-99BA-4839-BCA3-B841B8426B97}" name="Bella" dataDxfId="15">
      <calculatedColumnFormula>Tabela2[[#This Row],[Condominio]]+Tabela2[[#This Row],[Luz]]+Tabela2[[#This Row],[Gás]]</calculatedColumnFormula>
    </tableColumn>
    <tableColumn id="8" xr3:uid="{D9CB7D98-F2F6-4174-A6FC-C2FB5B74B311}" name="Digo" dataDxfId="14"/>
    <tableColumn id="1" xr3:uid="{F5770266-32E0-410A-89FE-7E1CFC097190}" name="Data" dataDxfId="13"/>
    <tableColumn id="2" xr3:uid="{6AB542DE-B8E8-4E7D-B70D-0CF2F2E2ACD5}" name="Mercado" dataDxfId="12"/>
    <tableColumn id="10" xr3:uid="{B90E6E1F-EF42-4562-95BC-57C808117C9B}" name="Vaga" dataDxfId="11"/>
    <tableColumn id="3" xr3:uid="{48FB62F1-0899-4DFE-9FBF-8D87F427F0D0}" name="Condominio" dataDxfId="10"/>
    <tableColumn id="4" xr3:uid="{AE0E401C-E38F-4148-ACFC-0BC4B723B4F6}" name="Luz" dataDxfId="9"/>
    <tableColumn id="5" xr3:uid="{94D2EDBA-E68D-497B-8A28-08DDB41114CC}" name="Gás" dataDxfId="8"/>
    <tableColumn id="6" xr3:uid="{1005389A-BE44-4864-99E8-CE5197991D0D}" name="Internet" dataDxfId="7"/>
    <tableColumn id="7" xr3:uid="{57C37F43-62B7-4AA7-B2EA-D8EF5D6E5F4C}" name="Total" dataDxfId="6">
      <calculatedColumnFormula>SUM(Tabela2[[#This Row],[Mercado]:[Internet]])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20BABF1-37C3-4E27-9D46-5D2059EDB8A1}" name="Tabela18" displayName="Tabela18" ref="H3:Q22" totalsRowShown="0">
  <autoFilter ref="H3:Q22" xr:uid="{320BABF1-37C3-4E27-9D46-5D2059EDB8A1}"/>
  <tableColumns count="10">
    <tableColumn id="1" xr3:uid="{48771CBB-1A67-406B-B368-6BA80E2873B5}" name="Loja:"/>
    <tableColumn id="2" xr3:uid="{25655DE2-F9EB-496D-9D4F-03FC5C58657E}" name="Quem"/>
    <tableColumn id="3" xr3:uid="{B4A6FBCA-0E76-4ECA-BD8B-37D270938E53}" name="Produtos:"/>
    <tableColumn id="4" xr3:uid="{F8B57768-02C6-43B7-A326-01A528BCB653}" name="Valor ML"/>
    <tableColumn id="5" xr3:uid="{22D5216F-48FA-41C9-B571-96DBE0D387CE}" name="Real &gt; DOL"/>
    <tableColumn id="6" xr3:uid="{A1360E88-A49A-408B-867C-7EE9F1ADE6DF}" name="No Paraguai"/>
    <tableColumn id="7" xr3:uid="{07F9935F-02A1-4BB6-865E-51971ED566C8}" name="Paraguai &gt; Real"/>
    <tableColumn id="8" xr3:uid="{44357FE8-4E34-4891-A4D9-E264F5723FE7}" name="Preço final"/>
    <tableColumn id="9" xr3:uid="{DE0B7F6F-EB5F-4855-9163-BC087EC8A739}" name="Lucro do comprador:"/>
    <tableColumn id="10" xr3:uid="{B2C4D9C2-3E5A-481E-9B7C-749E6D1F7672}" name="Meu Lucro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6C5FFCC-0A91-4C29-A10C-C0879ECD350D}" name="Tabela31" displayName="Tabela31" ref="A3:B10" totalsRowShown="0">
  <autoFilter ref="A3:B10" xr:uid="{36C5FFCC-0A91-4C29-A10C-C0879ECD350D}"/>
  <tableColumns count="2">
    <tableColumn id="1" xr3:uid="{A38FE839-0C1F-42F6-98FF-F654D17B019A}" name="Custo da viagem:"/>
    <tableColumn id="2" xr3:uid="{3685F8B2-023A-4179-A35C-E7BA97EBD1AA}" name="Valor:" dataDxfId="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2DBA6A9-5DC2-45E2-A231-FB66BCCC7D05}" name="Tabela32" displayName="Tabela32" ref="D3:F8" totalsRowShown="0">
  <autoFilter ref="D3:F8" xr:uid="{52DBA6A9-5DC2-45E2-A231-FB66BCCC7D05}"/>
  <tableColumns count="3">
    <tableColumn id="1" xr3:uid="{96A5E938-112B-4C5E-BE1A-2C280C6D1733}" name="Tirei de:"/>
    <tableColumn id="2" xr3:uid="{854FB1EE-578B-4C34-A706-82A317E0977F}" name="Valor" dataDxfId="2"/>
    <tableColumn id="3" xr3:uid="{D5E3C618-4C44-460F-AD19-9E5DCF19F555}" name="Voltar a mais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60B4A0E-0C5A-422C-BABC-9F5F8E6DC8D8}" name="Tabela33" displayName="Tabela33" ref="D10:F15" totalsRowShown="0">
  <autoFilter ref="D10:F15" xr:uid="{360B4A0E-0C5A-422C-BABC-9F5F8E6DC8D8}"/>
  <tableColumns count="3">
    <tableColumn id="1" xr3:uid="{8F073188-AAE6-4D2D-9B1F-8DF6394FCF69}" name="Voltou:" dataDxfId="1"/>
    <tableColumn id="2" xr3:uid="{F41E12DD-2D23-48C1-940E-6E32D87BF68B}" name="Valor" dataDxfId="0"/>
    <tableColumn id="3" xr3:uid="{DC90DFDE-D7C0-49A3-AF84-1ADEA6CFF87C}" name="Voltou a ma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6-02-22T21:37:43.52" personId="{C44137BF-8A29-4DA5-A6EF-E7382CBC889E}" id="{B9482F66-BF78-4A0E-875C-61122B0BDBEA}">
    <text>167,74 - valor muda de ano pra ano</text>
  </threadedComment>
  <threadedComment ref="R5" dT="2026-02-22T21:37:19.04" personId="{C44137BF-8A29-4DA5-A6EF-E7382CBC889E}" id="{3D3D4771-55A3-4291-A8C9-74BEB92DCBCF}">
    <text xml:space="preserve">Mais detalhes nas anotações. Em resumo, é o dinheiro para mobiliar a casa e dx pronta pra morar
</text>
  </threadedComment>
  <threadedComment ref="U7" dT="2024-08-09T19:14:13.37" personId="{C44137BF-8A29-4DA5-A6EF-E7382CBC889E}" id="{A82439F9-98D4-403F-B0F5-10D88F438620}">
    <text>Preço da gasosa, quea isa já tinha pago o dela que era a hopedagem em campos</text>
  </threadedComment>
  <threadedComment ref="U8" dT="2024-08-18T21:51:38.39" personId="{C44137BF-8A29-4DA5-A6EF-E7382CBC889E}" id="{67057301-04F2-4243-8713-1E6146C45E34}">
    <text>Isa pagou 73 da parte dela</text>
  </threadedComment>
  <threadedComment ref="E13" dT="2022-10-24T16:20:32.90" personId="{C44137BF-8A29-4DA5-A6EF-E7382CBC889E}" id="{F4828E9A-0133-44C1-BF7E-1FA4CFCBD15F}">
    <text>Já havia dinheiro que ganhei com caixas dropadas.</text>
  </threadedComment>
  <threadedComment ref="U13" dT="2025-01-10T19:23:42.52" personId="{C44137BF-8A29-4DA5-A6EF-E7382CBC889E}" id="{073E2EBB-FE20-4184-9A6F-03DC50DE7690}">
    <text>Nesse mês saiu 960, viagem pa bahia</text>
  </threadedComment>
  <threadedComment ref="AD13" dT="2025-01-30T19:55:08.40" personId="{C44137BF-8A29-4DA5-A6EF-E7382CBC889E}" id="{AA8C187F-9DDA-42DE-85C8-FE7CE21DCCFE}">
    <text>300 veio do inves</text>
  </threadedComment>
  <threadedComment ref="E15" dT="2024-10-04T15:57:27.28" personId="{C44137BF-8A29-4DA5-A6EF-E7382CBC889E}" id="{EBE867E4-0526-4030-AA83-86AA5258D00B}">
    <text xml:space="preserve">Já havia dinheiro que ganhei com caixas dropadas.
</text>
  </threadedComment>
  <threadedComment ref="U15" dT="2025-02-17T01:45:30.34" personId="{C44137BF-8A29-4DA5-A6EF-E7382CBC889E}" id="{9B8EC943-12FB-4FB9-B9E3-3D21EF2DD97E}">
    <text xml:space="preserve">HOSPEDAGEM </text>
  </threadedComment>
  <threadedComment ref="Y24" dT="2025-04-28T22:37:57.77" personId="{C44137BF-8A29-4DA5-A6EF-E7382CBC889E}" id="{72491B30-4B67-4B79-A51D-4CB467FE81ED}">
    <text>Anotar td para o imposto de renda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" dT="2022-11-21T16:20:21.38" personId="{C44137BF-8A29-4DA5-A6EF-E7382CBC889E}" id="{16E40688-34A1-4BAB-A655-7208A793E2A0}">
    <text>Manual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K4" dT="2026-02-07T16:48:16.78" personId="{C44137BF-8A29-4DA5-A6EF-E7382CBC889E}" id="{D81EFD81-95DC-48DE-8688-A285B911BBD4}">
    <text>https://www.mercadolivre.com.br/yongnuo-yn360-127220v-preto-rgb/p/MLB24343596?product_trigger_id=MLB15085327&amp;attributes=STRUCTURE_COLOR%3ALaranja&amp;picker=true&amp;quantity=1</text>
    <extLst>
      <x:ext xmlns:xltc2="http://schemas.microsoft.com/office/spreadsheetml/2020/threadedcomments2" uri="{F7C98A9C-CBB3-438F-8F68-D28B6AF4A901}">
        <xltc2:checksum>4160422990</xltc2:checksum>
        <xltc2:hyperlink startIndex="0" length="168" url="https://www.mercadolivre.com.br/yongnuo-yn360-127220v-preto-rgb/p/MLB24343596?product_trigger_id=MLB15085327&amp;attributes=STRUCTURE_COLOR%3ALaranja&amp;picker=true&amp;quantity=1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5" Type="http://schemas.openxmlformats.org/officeDocument/2006/relationships/table" Target="../tables/table17.xml"/><Relationship Id="rId10" Type="http://schemas.openxmlformats.org/officeDocument/2006/relationships/table" Target="../tables/table22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3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comprasparaguai.com.br/fone-de-ouvido-qcy-arcbuds-bluetooth_46687/" TargetMode="External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Relationship Id="rId9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68C3-2A81-4B3D-B176-0C71CE426479}">
  <sheetPr codeName="Planilha1">
    <tabColor theme="3" tint="0.39997558519241921"/>
  </sheetPr>
  <dimension ref="A1:M10"/>
  <sheetViews>
    <sheetView showGridLines="0" tabSelected="1" zoomScale="160" zoomScaleNormal="160" workbookViewId="0">
      <selection activeCell="D10" sqref="D10"/>
    </sheetView>
  </sheetViews>
  <sheetFormatPr defaultColWidth="0" defaultRowHeight="15" zeroHeight="1" x14ac:dyDescent="0.25"/>
  <cols>
    <col min="1" max="1" width="9.140625" customWidth="1"/>
    <col min="2" max="2" width="17" customWidth="1"/>
    <col min="3" max="3" width="9.140625" customWidth="1"/>
    <col min="4" max="4" width="12.7109375" customWidth="1"/>
    <col min="5" max="5" width="9.140625" customWidth="1"/>
    <col min="6" max="6" width="7.85546875" customWidth="1"/>
    <col min="7" max="7" width="7.42578125" bestFit="1" customWidth="1"/>
    <col min="8" max="8" width="7.42578125" customWidth="1"/>
    <col min="9" max="9" width="9.140625" customWidth="1"/>
    <col min="10" max="10" width="11.85546875" customWidth="1"/>
    <col min="11" max="12" width="9.140625" customWidth="1"/>
    <col min="13" max="13" width="3" customWidth="1"/>
    <col min="14" max="17" width="9.140625" hidden="1" customWidth="1"/>
    <col min="18" max="16384" width="9.140625" hidden="1"/>
  </cols>
  <sheetData>
    <row r="1" spans="1:8" s="3" customFormat="1" ht="75" customHeight="1" x14ac:dyDescent="0.25"/>
    <row r="2" spans="1:8" x14ac:dyDescent="0.25">
      <c r="A2" s="168">
        <f>MP!B3</f>
        <v>2.8421709430404007E-13</v>
      </c>
      <c r="B2" s="169"/>
      <c r="C2" s="172">
        <f>ITAÚ!B3</f>
        <v>0</v>
      </c>
      <c r="D2" s="173"/>
      <c r="E2" s="170"/>
      <c r="F2" s="171"/>
      <c r="G2" s="87"/>
      <c r="H2" s="88"/>
    </row>
    <row r="3" spans="1:8" x14ac:dyDescent="0.25">
      <c r="A3" s="169"/>
      <c r="B3" s="169"/>
      <c r="C3" s="173"/>
      <c r="D3" s="173"/>
      <c r="E3" s="171"/>
      <c r="F3" s="171"/>
    </row>
    <row r="4" spans="1:8" x14ac:dyDescent="0.25"/>
    <row r="5" spans="1:8" x14ac:dyDescent="0.25">
      <c r="E5" s="95"/>
    </row>
    <row r="6" spans="1:8" x14ac:dyDescent="0.25"/>
    <row r="7" spans="1:8" x14ac:dyDescent="0.25"/>
    <row r="8" spans="1:8" x14ac:dyDescent="0.25"/>
    <row r="9" spans="1:8" x14ac:dyDescent="0.25"/>
    <row r="10" spans="1:8" ht="150" customHeight="1" x14ac:dyDescent="0.25">
      <c r="E10" s="92"/>
    </row>
  </sheetData>
  <mergeCells count="3">
    <mergeCell ref="A2:B3"/>
    <mergeCell ref="E2:F3"/>
    <mergeCell ref="C2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F9D4-D069-43CD-A0FA-5E3A0F552C6F}">
  <sheetPr codeName="Planilha2">
    <tabColor rgb="FFFFC000"/>
  </sheetPr>
  <dimension ref="A1:H23"/>
  <sheetViews>
    <sheetView workbookViewId="0">
      <pane ySplit="3" topLeftCell="A4" activePane="bottomLeft" state="frozen"/>
      <selection pane="bottomLeft" activeCell="E25" sqref="E25"/>
    </sheetView>
  </sheetViews>
  <sheetFormatPr defaultRowHeight="20.100000000000001" customHeight="1" x14ac:dyDescent="0.25"/>
  <cols>
    <col min="1" max="1" width="21.28515625" customWidth="1"/>
    <col min="2" max="2" width="31" customWidth="1"/>
    <col min="3" max="3" width="19" bestFit="1" customWidth="1"/>
    <col min="4" max="4" width="22" customWidth="1"/>
    <col min="5" max="5" width="30.7109375" customWidth="1"/>
    <col min="6" max="6" width="11" customWidth="1"/>
    <col min="7" max="7" width="19.85546875" customWidth="1"/>
    <col min="8" max="8" width="33.42578125" customWidth="1"/>
  </cols>
  <sheetData>
    <row r="1" spans="1:8" s="4" customFormat="1" ht="20.100000000000001" customHeight="1" x14ac:dyDescent="0.25">
      <c r="A1" s="7" t="s">
        <v>58</v>
      </c>
      <c r="B1" s="6" t="s">
        <v>0</v>
      </c>
      <c r="C1" s="27" t="s">
        <v>4</v>
      </c>
      <c r="D1" s="26" t="s">
        <v>27</v>
      </c>
      <c r="E1" s="52" t="s">
        <v>32</v>
      </c>
      <c r="F1" s="43" t="s">
        <v>40</v>
      </c>
      <c r="G1" s="76" t="s">
        <v>39</v>
      </c>
      <c r="H1" s="30" t="s">
        <v>28</v>
      </c>
    </row>
    <row r="2" spans="1:8" ht="19.5" customHeight="1" x14ac:dyDescent="0.25"/>
    <row r="3" spans="1:8" ht="30" customHeight="1" x14ac:dyDescent="0.5">
      <c r="A3" s="17" t="s">
        <v>16</v>
      </c>
      <c r="B3" s="23">
        <f>B18+E18+H18+B23+E23+H23+B8+E8+H8+H13+E13+B13</f>
        <v>2.8421709430404007E-13</v>
      </c>
      <c r="D3" s="1"/>
    </row>
    <row r="4" spans="1:8" ht="20.100000000000001" customHeight="1" x14ac:dyDescent="0.25">
      <c r="F4" s="2"/>
    </row>
    <row r="5" spans="1:8" ht="20.100000000000001" customHeight="1" x14ac:dyDescent="0.25">
      <c r="A5" s="19" t="s">
        <v>52</v>
      </c>
      <c r="B5" s="18" t="s">
        <v>14</v>
      </c>
      <c r="D5" s="19" t="s">
        <v>53</v>
      </c>
      <c r="E5" s="18" t="s">
        <v>17</v>
      </c>
      <c r="G5" s="19" t="s">
        <v>54</v>
      </c>
      <c r="H5" s="18" t="s">
        <v>19</v>
      </c>
    </row>
    <row r="6" spans="1:8" ht="20.100000000000001" customHeight="1" x14ac:dyDescent="0.25">
      <c r="A6" t="s">
        <v>24</v>
      </c>
      <c r="B6" s="1">
        <f>SUMIFS(TbEntradaINDIVIDUAL[VALOR],TbEntradaINDIVIDUAL[ONDE ENTRA],"MP",TbEntradaINDIVIDUAL[MÊS],"1")</f>
        <v>3219.3</v>
      </c>
      <c r="D6" t="s">
        <v>24</v>
      </c>
      <c r="E6" s="1">
        <f>SUMIFS(TbEntradaINDIVIDUAL[VALOR],TbEntradaINDIVIDUAL[ONDE ENTRA],"MP",TbEntradaINDIVIDUAL[MÊS],"2")</f>
        <v>4009.53</v>
      </c>
      <c r="G6" t="s">
        <v>24</v>
      </c>
      <c r="H6" s="1">
        <f>SUMIFS(TbEntradaINDIVIDUAL[VALOR],TbEntradaINDIVIDUAL[ONDE ENTRA],"MP",TbEntradaINDIVIDUAL[MÊS],"3")</f>
        <v>3985.35</v>
      </c>
    </row>
    <row r="7" spans="1:8" ht="20.100000000000001" customHeight="1" x14ac:dyDescent="0.25">
      <c r="A7" s="15" t="s">
        <v>11</v>
      </c>
      <c r="B7" s="16">
        <f>SUMIFS(TbSaida[VALOR],TbSaida[BANCO],"MP",TbSaida[MÊS],"1")</f>
        <v>3208.1000000000004</v>
      </c>
      <c r="D7" s="15" t="s">
        <v>11</v>
      </c>
      <c r="E7" s="16">
        <f>SUMIFS(TbSaida[VALOR],TbSaida[BANCO],"MP",TbSaida[MÊS],"2")</f>
        <v>4013.6500000000005</v>
      </c>
      <c r="G7" s="15" t="s">
        <v>11</v>
      </c>
      <c r="H7" s="16">
        <f>SUMIFS(TbSaida[VALOR],TbSaida[BANCO],"MP",TbSaida[MÊS],"3")</f>
        <v>3842.6699999999992</v>
      </c>
    </row>
    <row r="8" spans="1:8" ht="20.100000000000001" customHeight="1" x14ac:dyDescent="0.25">
      <c r="A8" t="s">
        <v>26</v>
      </c>
      <c r="B8" s="1">
        <f>B6-B7</f>
        <v>11.199999999999818</v>
      </c>
      <c r="D8" t="s">
        <v>15</v>
      </c>
      <c r="E8" s="1">
        <f>E6-E7</f>
        <v>-4.1200000000003456</v>
      </c>
      <c r="G8" t="s">
        <v>15</v>
      </c>
      <c r="H8" s="1">
        <f>H6-H7</f>
        <v>142.68000000000075</v>
      </c>
    </row>
    <row r="10" spans="1:8" ht="20.100000000000001" customHeight="1" x14ac:dyDescent="0.25">
      <c r="A10" s="19" t="s">
        <v>56</v>
      </c>
      <c r="B10" s="18" t="s">
        <v>19</v>
      </c>
      <c r="D10" s="19" t="s">
        <v>57</v>
      </c>
      <c r="E10" s="18" t="s">
        <v>19</v>
      </c>
      <c r="G10" s="19" t="s">
        <v>55</v>
      </c>
      <c r="H10" s="18" t="s">
        <v>19</v>
      </c>
    </row>
    <row r="11" spans="1:8" ht="20.100000000000001" customHeight="1" x14ac:dyDescent="0.25">
      <c r="A11" t="s">
        <v>24</v>
      </c>
      <c r="B11" s="1">
        <f>SUMIFS(TbEntradaINDIVIDUAL[VALOR],TbEntradaINDIVIDUAL[ONDE ENTRA],"MP",TbEntradaINDIVIDUAL[MÊS],"4")</f>
        <v>4177.8</v>
      </c>
      <c r="D11" t="s">
        <v>24</v>
      </c>
      <c r="E11" s="1">
        <f>SUMIFS(TbEntradaINDIVIDUAL[VALOR],TbEntradaINDIVIDUAL[ONDE ENTRA],"MP",TbEntradaINDIVIDUAL[MÊS],"5")</f>
        <v>0</v>
      </c>
      <c r="G11" t="s">
        <v>24</v>
      </c>
      <c r="H11" s="1">
        <f>SUMIFS(TbEntradaINDIVIDUAL[VALOR],TbEntradaINDIVIDUAL[ONDE ENTRA],"MP",TbEntradaINDIVIDUAL[MÊS],"6")</f>
        <v>0</v>
      </c>
    </row>
    <row r="12" spans="1:8" ht="20.100000000000001" customHeight="1" x14ac:dyDescent="0.25">
      <c r="A12" s="15" t="s">
        <v>11</v>
      </c>
      <c r="B12" s="16">
        <f>SUMIFS(TbSaida[VALOR],TbSaida[BANCO],"MP",TbSaida[MÊS],"4")</f>
        <v>3954.15</v>
      </c>
      <c r="D12" s="15" t="s">
        <v>11</v>
      </c>
      <c r="E12" s="16">
        <f>SUMIFS(TbSaida[VALOR],TbSaida[BANCO],"MP",TbSaida[MÊS],"5")</f>
        <v>236.61</v>
      </c>
      <c r="G12" s="15" t="s">
        <v>11</v>
      </c>
      <c r="H12" s="16">
        <f>SUMIFS(TbSaida[VALOR],TbSaida[BANCO],"MP",TbSaida[MÊS],"6")</f>
        <v>0</v>
      </c>
    </row>
    <row r="13" spans="1:8" ht="20.100000000000001" customHeight="1" x14ac:dyDescent="0.25">
      <c r="A13" t="s">
        <v>15</v>
      </c>
      <c r="B13" s="1">
        <f>B11-B12</f>
        <v>223.65000000000009</v>
      </c>
      <c r="D13" t="s">
        <v>15</v>
      </c>
      <c r="E13" s="1">
        <f>E11-E12</f>
        <v>-236.61</v>
      </c>
      <c r="G13" t="s">
        <v>15</v>
      </c>
      <c r="H13" s="1">
        <f>H11-H12</f>
        <v>0</v>
      </c>
    </row>
    <row r="15" spans="1:8" ht="20.100000000000001" customHeight="1" x14ac:dyDescent="0.25">
      <c r="A15" s="19" t="s">
        <v>12</v>
      </c>
      <c r="B15" s="18" t="s">
        <v>14</v>
      </c>
      <c r="D15" s="19" t="s">
        <v>13</v>
      </c>
      <c r="E15" s="18" t="s">
        <v>17</v>
      </c>
      <c r="G15" s="19" t="s">
        <v>18</v>
      </c>
      <c r="H15" s="18" t="s">
        <v>19</v>
      </c>
    </row>
    <row r="16" spans="1:8" ht="20.100000000000001" customHeight="1" x14ac:dyDescent="0.25">
      <c r="A16" t="s">
        <v>24</v>
      </c>
      <c r="B16" s="1">
        <f>SUMIFS(TbEntradaINDIVIDUAL[VALOR],TbEntradaINDIVIDUAL[ONDE ENTRA],"MP",TbEntradaINDIVIDUAL[MÊS],"7")</f>
        <v>0</v>
      </c>
      <c r="D16" t="s">
        <v>24</v>
      </c>
      <c r="E16" s="1">
        <f>SUMIFS(TbEntradaINDIVIDUAL[VALOR],TbEntradaINDIVIDUAL[ONDE ENTRA],"MP",TbEntradaINDIVIDUAL[MÊS],"8")</f>
        <v>0</v>
      </c>
      <c r="G16" t="s">
        <v>24</v>
      </c>
      <c r="H16" s="1">
        <f>SUMIFS(TbEntradaINDIVIDUAL[VALOR],TbEntradaINDIVIDUAL[ONDE ENTRA],"MP",TbEntradaINDIVIDUAL[MÊS],"9")</f>
        <v>0</v>
      </c>
    </row>
    <row r="17" spans="1:8" ht="20.100000000000001" customHeight="1" x14ac:dyDescent="0.25">
      <c r="A17" s="15" t="s">
        <v>11</v>
      </c>
      <c r="B17" s="16">
        <f>SUMIFS(TbSaida[VALOR],TbSaida[BANCO],"MP",TbSaida[MÊS],"7")</f>
        <v>0</v>
      </c>
      <c r="D17" s="15" t="s">
        <v>11</v>
      </c>
      <c r="E17" s="16">
        <f>SUMIFS(TbSaida[VALOR],TbSaida[BANCO],"MP",TbSaida[MÊS],"8")</f>
        <v>136.80000000000001</v>
      </c>
      <c r="G17" s="15" t="s">
        <v>11</v>
      </c>
      <c r="H17" s="16">
        <f>SUMIFS(TbSaida[VALOR],TbSaida[BANCO],"MP",TbSaida[MÊS],"9")</f>
        <v>0</v>
      </c>
    </row>
    <row r="18" spans="1:8" ht="20.100000000000001" customHeight="1" x14ac:dyDescent="0.25">
      <c r="A18" t="s">
        <v>26</v>
      </c>
      <c r="B18" s="1">
        <f>B16-B17</f>
        <v>0</v>
      </c>
      <c r="D18" t="s">
        <v>15</v>
      </c>
      <c r="E18" s="1">
        <f>E16-E17</f>
        <v>-136.80000000000001</v>
      </c>
      <c r="G18" t="s">
        <v>15</v>
      </c>
      <c r="H18" s="1">
        <f>H16-H17</f>
        <v>0</v>
      </c>
    </row>
    <row r="20" spans="1:8" ht="20.100000000000001" customHeight="1" x14ac:dyDescent="0.25">
      <c r="A20" s="19" t="s">
        <v>29</v>
      </c>
      <c r="B20" s="18" t="s">
        <v>19</v>
      </c>
      <c r="D20" s="19" t="s">
        <v>21</v>
      </c>
      <c r="E20" s="18" t="s">
        <v>19</v>
      </c>
      <c r="G20" s="19" t="s">
        <v>22</v>
      </c>
      <c r="H20" s="18" t="s">
        <v>19</v>
      </c>
    </row>
    <row r="21" spans="1:8" ht="20.100000000000001" customHeight="1" x14ac:dyDescent="0.25">
      <c r="A21" t="s">
        <v>24</v>
      </c>
      <c r="B21" s="1">
        <f>SUMIFS(TbEntradaINDIVIDUAL[VALOR],TbEntradaINDIVIDUAL[ONDE ENTRA],"MP",TbEntradaINDIVIDUAL[MÊS],"10")</f>
        <v>0</v>
      </c>
      <c r="D21" t="s">
        <v>24</v>
      </c>
      <c r="E21" s="1">
        <f>SUMIFS(TbEntradaINDIVIDUAL[VALOR],TbEntradaINDIVIDUAL[ONDE ENTRA],"MP",TbEntradaINDIVIDUAL[MÊS],"11")</f>
        <v>0</v>
      </c>
      <c r="G21" t="s">
        <v>24</v>
      </c>
      <c r="H21" s="1">
        <f>SUMIFS(TbEntradaINDIVIDUAL[VALOR],TbEntradaINDIVIDUAL[ONDE ENTRA],"MP",TbEntradaINDIVIDUAL[MÊS],"12")</f>
        <v>0</v>
      </c>
    </row>
    <row r="22" spans="1:8" ht="20.100000000000001" customHeight="1" x14ac:dyDescent="0.25">
      <c r="A22" s="15" t="s">
        <v>11</v>
      </c>
      <c r="B22" s="16">
        <f>SUMIFS(TbSaida[VALOR],TbSaida[BANCO],"MP",TbSaida[MÊS],"10")</f>
        <v>0</v>
      </c>
      <c r="D22" s="15" t="s">
        <v>11</v>
      </c>
      <c r="E22" s="16">
        <f>SUMIFS(TbSaida[VALOR],TbSaida[BANCO],"MP",TbSaida[MÊS],"11")</f>
        <v>0</v>
      </c>
      <c r="G22" s="15" t="s">
        <v>11</v>
      </c>
      <c r="H22" s="16">
        <f>SUMIFS(TbSaida[VALOR],TbSaida[BANCO],"MP",TbSaida[MÊS],"12")</f>
        <v>0</v>
      </c>
    </row>
    <row r="23" spans="1:8" ht="20.100000000000001" customHeight="1" x14ac:dyDescent="0.25">
      <c r="A23" t="s">
        <v>15</v>
      </c>
      <c r="B23" s="1">
        <f>B21-B22</f>
        <v>0</v>
      </c>
      <c r="D23" t="s">
        <v>15</v>
      </c>
      <c r="E23" s="1">
        <f>E21-E22</f>
        <v>0</v>
      </c>
      <c r="G23" t="s">
        <v>15</v>
      </c>
      <c r="H23" s="1">
        <f>H21-H22</f>
        <v>0</v>
      </c>
    </row>
  </sheetData>
  <hyperlinks>
    <hyperlink ref="A1" location="INTER!A1" display="INTER" xr:uid="{A9A6D19E-77DA-4538-9D33-CC44748E112D}"/>
    <hyperlink ref="B1" location="ITAÚ!A1" display="ITAÚ" xr:uid="{C2672A70-DA53-4CD1-B7AE-47C19AFBFFDF}"/>
    <hyperlink ref="C1" location="ENTRADAS!A1" display="ENTRADAS" xr:uid="{0A685DA2-658A-4479-8721-20BBC3246AB5}"/>
    <hyperlink ref="D1" location="SAÍDA!A1" display="SAÍDA" xr:uid="{6114E8B6-219C-4592-AD68-03107EF4628F}"/>
    <hyperlink ref="H1" location="INÍCIO!A1" display="INÍCIO" xr:uid="{42E5DFE9-168B-4371-BD41-A63784283B76}"/>
    <hyperlink ref="E1" location="INVESTIMENTO!A1" display="INVESTIMENTO" xr:uid="{EE11B2A3-9F0A-4F59-8642-0748348C7945}"/>
    <hyperlink ref="G1" location="DEVO!A1" display="DEVO" xr:uid="{A83A3F4C-0485-41B9-AC2E-BEA04CEFA5D7}"/>
    <hyperlink ref="F1" location="DEVEM!A1" display="DEVEM" xr:uid="{C852EBC5-2629-43DD-A23A-2CCE415DA2CD}"/>
  </hyperlinks>
  <pageMargins left="0.511811024" right="0.511811024" top="0.78740157499999996" bottom="0.78740157499999996" header="0.31496062000000002" footer="0.31496062000000002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F8219-6F73-4CBD-BBBE-AC760C941041}">
  <sheetPr codeName="Planilha3">
    <tabColor theme="8" tint="-0.249977111117893"/>
  </sheetPr>
  <dimension ref="A1:I28"/>
  <sheetViews>
    <sheetView showGridLines="0" workbookViewId="0">
      <pane ySplit="3" topLeftCell="A4" activePane="bottomLeft" state="frozen"/>
      <selection pane="bottomLeft"/>
    </sheetView>
  </sheetViews>
  <sheetFormatPr defaultRowHeight="19.5" customHeight="1" x14ac:dyDescent="0.25"/>
  <cols>
    <col min="1" max="1" width="20.7109375" customWidth="1"/>
    <col min="2" max="2" width="30.7109375" customWidth="1"/>
    <col min="3" max="3" width="19" bestFit="1" customWidth="1"/>
    <col min="4" max="4" width="21.85546875" customWidth="1"/>
    <col min="5" max="5" width="30.7109375" customWidth="1"/>
    <col min="6" max="6" width="12.42578125" customWidth="1"/>
    <col min="7" max="7" width="19.85546875" customWidth="1"/>
    <col min="8" max="8" width="32.7109375" customWidth="1"/>
    <col min="9" max="9" width="9.5703125" bestFit="1" customWidth="1"/>
  </cols>
  <sheetData>
    <row r="1" spans="1:8" s="4" customFormat="1" ht="19.5" customHeight="1" x14ac:dyDescent="0.25">
      <c r="A1" s="5" t="s">
        <v>58</v>
      </c>
      <c r="B1" s="8" t="s">
        <v>0</v>
      </c>
      <c r="C1" s="27" t="s">
        <v>4</v>
      </c>
      <c r="D1" s="26" t="s">
        <v>27</v>
      </c>
      <c r="E1" s="52" t="s">
        <v>32</v>
      </c>
      <c r="F1" s="43" t="s">
        <v>40</v>
      </c>
      <c r="G1" s="76" t="s">
        <v>39</v>
      </c>
      <c r="H1" s="30" t="s">
        <v>28</v>
      </c>
    </row>
    <row r="3" spans="1:8" ht="30" customHeight="1" x14ac:dyDescent="0.5">
      <c r="A3" s="17" t="s">
        <v>16</v>
      </c>
      <c r="B3" s="23">
        <f>B8+E8+H8+H13+E13+B13+B18+E18+H18+H23+E23+B23</f>
        <v>0</v>
      </c>
      <c r="D3" s="1"/>
      <c r="E3" s="1"/>
    </row>
    <row r="5" spans="1:8" ht="19.5" customHeight="1" x14ac:dyDescent="0.25">
      <c r="A5" s="19" t="s">
        <v>52</v>
      </c>
      <c r="B5" s="18" t="s">
        <v>14</v>
      </c>
      <c r="D5" s="19" t="s">
        <v>53</v>
      </c>
      <c r="E5" s="18" t="s">
        <v>17</v>
      </c>
      <c r="G5" s="19" t="s">
        <v>54</v>
      </c>
      <c r="H5" s="18" t="s">
        <v>19</v>
      </c>
    </row>
    <row r="6" spans="1:8" ht="19.5" customHeight="1" x14ac:dyDescent="0.25">
      <c r="A6" t="s">
        <v>24</v>
      </c>
      <c r="B6" s="1">
        <f>SUMIFS(TbEntradaINDIVIDUAL[VALOR],TbEntradaINDIVIDUAL[ONDE ENTRA],"ITAÚ",TbEntradaINDIVIDUAL[MÊS],"1")</f>
        <v>0</v>
      </c>
      <c r="D6" t="s">
        <v>24</v>
      </c>
      <c r="E6" s="1">
        <f>SUMIFS(TbEntradaINDIVIDUAL[VALOR],TbEntradaINDIVIDUAL[ONDE ENTRA],"ITAÚ",TbEntradaINDIVIDUAL[MÊS],"2")</f>
        <v>0</v>
      </c>
      <c r="G6" t="s">
        <v>24</v>
      </c>
      <c r="H6" s="1">
        <f>SUMIFS(TbEntradaINDIVIDUAL[VALOR],TbEntradaINDIVIDUAL[ONDE ENTRA],"ITAÚ",TbEntradaINDIVIDUAL[MÊS],"3")</f>
        <v>0</v>
      </c>
    </row>
    <row r="7" spans="1:8" ht="19.5" customHeight="1" x14ac:dyDescent="0.25">
      <c r="A7" s="15" t="s">
        <v>11</v>
      </c>
      <c r="B7" s="16">
        <f>SUMIFS(TbSaida[VALOR],TbSaida[BANCO],"ITAÚ",TbSaida[MÊS],"1")</f>
        <v>0</v>
      </c>
      <c r="D7" s="15" t="s">
        <v>11</v>
      </c>
      <c r="E7" s="16">
        <f>SUMIFS(TbSaida[VALOR],TbSaida[BANCO],"ITAÚ",TbSaida[MÊS],"2")</f>
        <v>0</v>
      </c>
      <c r="G7" s="15" t="s">
        <v>11</v>
      </c>
      <c r="H7" s="16">
        <f>SUMIFS(TbSaida[VALOR],TbSaida[BANCO],"ITAÚ",TbSaida[MÊS],"3")</f>
        <v>0</v>
      </c>
    </row>
    <row r="8" spans="1:8" ht="19.5" customHeight="1" x14ac:dyDescent="0.25">
      <c r="A8" t="s">
        <v>26</v>
      </c>
      <c r="B8" s="1">
        <f>B6-B7</f>
        <v>0</v>
      </c>
      <c r="D8" t="s">
        <v>26</v>
      </c>
      <c r="E8" s="1">
        <f>E6-E7</f>
        <v>0</v>
      </c>
      <c r="G8" t="s">
        <v>26</v>
      </c>
      <c r="H8" s="1">
        <f>H6-H7</f>
        <v>0</v>
      </c>
    </row>
    <row r="10" spans="1:8" ht="19.5" customHeight="1" x14ac:dyDescent="0.25">
      <c r="A10" s="19" t="s">
        <v>56</v>
      </c>
      <c r="B10" s="18" t="s">
        <v>19</v>
      </c>
      <c r="D10" s="19" t="s">
        <v>57</v>
      </c>
      <c r="E10" s="18" t="s">
        <v>19</v>
      </c>
      <c r="G10" s="19" t="s">
        <v>55</v>
      </c>
      <c r="H10" s="18" t="s">
        <v>19</v>
      </c>
    </row>
    <row r="11" spans="1:8" ht="19.5" customHeight="1" x14ac:dyDescent="0.25">
      <c r="A11" t="s">
        <v>24</v>
      </c>
      <c r="B11" s="1">
        <f>SUMIFS(TbEntradaINDIVIDUAL[VALOR],TbEntradaINDIVIDUAL[ONDE ENTRA],"ITAÚ",TbEntradaINDIVIDUAL[MÊS],"4")</f>
        <v>0</v>
      </c>
      <c r="D11" t="s">
        <v>24</v>
      </c>
      <c r="E11" s="1">
        <f>SUMIFS(TbEntradaINDIVIDUAL[VALOR],TbEntradaINDIVIDUAL[ONDE ENTRA],"ITAÚ",TbEntradaINDIVIDUAL[MÊS],"5")</f>
        <v>0</v>
      </c>
      <c r="G11" t="s">
        <v>24</v>
      </c>
      <c r="H11" s="1">
        <f>SUMIFS(TbEntradaINDIVIDUAL[VALOR],TbEntradaINDIVIDUAL[ONDE ENTRA],"ITAÚ",TbEntradaINDIVIDUAL[MÊS],"6")</f>
        <v>0</v>
      </c>
    </row>
    <row r="12" spans="1:8" ht="19.5" customHeight="1" x14ac:dyDescent="0.25">
      <c r="A12" s="15" t="s">
        <v>11</v>
      </c>
      <c r="B12" s="16">
        <f>SUMIFS(TbSaida[VALOR],TbSaida[BANCO],"ITAÚ",TbSaida[MÊS],"4")</f>
        <v>0</v>
      </c>
      <c r="D12" s="15" t="s">
        <v>11</v>
      </c>
      <c r="E12" s="16">
        <f>SUMIFS(TbSaida[VALOR],TbSaida[BANCO],"ITAÚ",TbSaida[MÊS],"5")</f>
        <v>0</v>
      </c>
      <c r="G12" s="15" t="s">
        <v>11</v>
      </c>
      <c r="H12" s="16">
        <f>SUMIFS(TbSaida[VALOR],TbSaida[BANCO],"ITAÚ",TbSaida[MÊS],"6")</f>
        <v>0</v>
      </c>
    </row>
    <row r="13" spans="1:8" ht="19.5" customHeight="1" x14ac:dyDescent="0.25">
      <c r="A13" t="s">
        <v>26</v>
      </c>
      <c r="B13" s="1">
        <f>B11-B12</f>
        <v>0</v>
      </c>
      <c r="D13" t="s">
        <v>26</v>
      </c>
      <c r="E13" s="1">
        <f>E11-E12</f>
        <v>0</v>
      </c>
      <c r="G13" t="s">
        <v>26</v>
      </c>
      <c r="H13" s="1">
        <f>H11-H12</f>
        <v>0</v>
      </c>
    </row>
    <row r="15" spans="1:8" ht="19.5" customHeight="1" x14ac:dyDescent="0.25">
      <c r="A15" s="19" t="s">
        <v>12</v>
      </c>
      <c r="B15" s="18" t="s">
        <v>14</v>
      </c>
      <c r="D15" s="19" t="s">
        <v>13</v>
      </c>
      <c r="E15" s="18" t="s">
        <v>17</v>
      </c>
      <c r="G15" s="19" t="s">
        <v>18</v>
      </c>
      <c r="H15" s="18" t="s">
        <v>19</v>
      </c>
    </row>
    <row r="16" spans="1:8" ht="19.5" customHeight="1" x14ac:dyDescent="0.25">
      <c r="A16" t="s">
        <v>24</v>
      </c>
      <c r="B16" s="1">
        <f>SUMIFS(TbEntradaINDIVIDUAL[VALOR],TbEntradaINDIVIDUAL[ONDE ENTRA],"ITAÚ",TbEntradaINDIVIDUAL[MÊS],"7")</f>
        <v>0</v>
      </c>
      <c r="D16" t="s">
        <v>24</v>
      </c>
      <c r="E16" s="1">
        <f>SUMIFS(TbEntradaINDIVIDUAL[VALOR],TbEntradaINDIVIDUAL[ONDE ENTRA],"ITAÚ",TbEntradaINDIVIDUAL[MÊS],"8")</f>
        <v>0</v>
      </c>
      <c r="G16" t="s">
        <v>24</v>
      </c>
      <c r="H16" s="1">
        <f>SUMIFS(TbEntradaINDIVIDUAL[VALOR],TbEntradaINDIVIDUAL[ONDE ENTRA],"ITAÚ",TbEntradaINDIVIDUAL[MÊS],"9")</f>
        <v>0</v>
      </c>
    </row>
    <row r="17" spans="1:9" ht="19.5" customHeight="1" x14ac:dyDescent="0.25">
      <c r="A17" s="15" t="s">
        <v>11</v>
      </c>
      <c r="B17" s="16">
        <f>SUMIFS(TbSaida[VALOR],TbSaida[BANCO],"ITAÚ",TbSaida[MÊS],"7")</f>
        <v>0</v>
      </c>
      <c r="D17" s="15" t="s">
        <v>11</v>
      </c>
      <c r="E17" s="16">
        <f>SUMIFS(TbSaida[VALOR],TbSaida[BANCO],"ITAÚ",TbSaida[MÊS],"8")</f>
        <v>0</v>
      </c>
      <c r="G17" s="15" t="s">
        <v>11</v>
      </c>
      <c r="H17" s="16">
        <f>SUMIFS(TbSaida[VALOR],TbSaida[BANCO],"ITAÚ",TbSaida[MÊS],"9")</f>
        <v>0</v>
      </c>
    </row>
    <row r="18" spans="1:9" ht="19.5" customHeight="1" x14ac:dyDescent="0.25">
      <c r="A18" t="s">
        <v>26</v>
      </c>
      <c r="B18" s="1">
        <f>B16-B17</f>
        <v>0</v>
      </c>
      <c r="D18" t="s">
        <v>26</v>
      </c>
      <c r="E18" s="1">
        <f>E16-E17</f>
        <v>0</v>
      </c>
      <c r="G18" t="s">
        <v>26</v>
      </c>
      <c r="H18" s="1">
        <f>H16-H17</f>
        <v>0</v>
      </c>
    </row>
    <row r="20" spans="1:9" ht="19.5" customHeight="1" x14ac:dyDescent="0.25">
      <c r="A20" s="19" t="s">
        <v>20</v>
      </c>
      <c r="B20" s="18" t="s">
        <v>19</v>
      </c>
      <c r="D20" s="19" t="s">
        <v>21</v>
      </c>
      <c r="E20" s="18" t="s">
        <v>19</v>
      </c>
      <c r="G20" s="19" t="s">
        <v>22</v>
      </c>
      <c r="H20" s="18" t="s">
        <v>19</v>
      </c>
    </row>
    <row r="21" spans="1:9" ht="19.5" customHeight="1" x14ac:dyDescent="0.25">
      <c r="A21" t="s">
        <v>24</v>
      </c>
      <c r="B21" s="1">
        <f>SUMIFS(TbEntradaINDIVIDUAL[VALOR],TbEntradaINDIVIDUAL[ONDE ENTRA],"ITAÚ",TbEntradaINDIVIDUAL[MÊS],"10")</f>
        <v>0</v>
      </c>
      <c r="D21" t="s">
        <v>24</v>
      </c>
      <c r="E21" s="1">
        <f>SUMIFS(TbEntradaINDIVIDUAL[VALOR],TbEntradaINDIVIDUAL[ONDE ENTRA],"ITAÚ",TbEntradaINDIVIDUAL[MÊS],"11")</f>
        <v>0</v>
      </c>
      <c r="G21" t="s">
        <v>24</v>
      </c>
      <c r="H21" s="1">
        <f>SUMIFS(TbEntradaINDIVIDUAL[VALOR],TbEntradaINDIVIDUAL[ONDE ENTRA],"ITAÚ",TbEntradaINDIVIDUAL[MÊS],"12")</f>
        <v>0</v>
      </c>
    </row>
    <row r="22" spans="1:9" ht="19.5" customHeight="1" x14ac:dyDescent="0.25">
      <c r="A22" s="15" t="s">
        <v>11</v>
      </c>
      <c r="B22" s="16">
        <f>SUMIFS(TbSaida[VALOR],TbSaida[BANCO],"ITAÚ",TbSaida[MÊS],"10")</f>
        <v>0</v>
      </c>
      <c r="D22" s="15" t="s">
        <v>11</v>
      </c>
      <c r="E22" s="16">
        <f>SUMIFS(TbSaida[VALOR],TbSaida[BANCO],"ITAÚ",TbSaida[MÊS],"11")</f>
        <v>0</v>
      </c>
      <c r="G22" s="15" t="s">
        <v>11</v>
      </c>
      <c r="H22" s="16">
        <f>SUMIFS(TbSaida[VALOR],TbSaida[BANCO],"ITAÚ",TbSaida[MÊS],"12")</f>
        <v>0</v>
      </c>
    </row>
    <row r="23" spans="1:9" ht="19.5" customHeight="1" x14ac:dyDescent="0.25">
      <c r="A23" t="s">
        <v>26</v>
      </c>
      <c r="B23" s="1">
        <f>B21-B22</f>
        <v>0</v>
      </c>
      <c r="D23" t="s">
        <v>26</v>
      </c>
      <c r="E23" s="1">
        <f>E21-E22</f>
        <v>0</v>
      </c>
      <c r="G23" t="s">
        <v>26</v>
      </c>
      <c r="H23" s="1">
        <f>H21-H22</f>
        <v>0</v>
      </c>
    </row>
    <row r="24" spans="1:9" ht="19.5" customHeight="1" x14ac:dyDescent="0.25">
      <c r="H24" s="1"/>
    </row>
    <row r="25" spans="1:9" ht="19.5" customHeight="1" x14ac:dyDescent="0.3">
      <c r="I25" s="14"/>
    </row>
    <row r="26" spans="1:9" ht="19.5" customHeight="1" x14ac:dyDescent="0.25">
      <c r="H26" s="1"/>
    </row>
    <row r="28" spans="1:9" ht="19.5" customHeight="1" x14ac:dyDescent="0.25">
      <c r="I28" s="1"/>
    </row>
  </sheetData>
  <hyperlinks>
    <hyperlink ref="A1" location="MP!A1" display="MP" xr:uid="{9C7D9217-5AAC-4A03-8DA6-093A8D00AAFD}"/>
    <hyperlink ref="B1" location="ITAÚ!A1" display="ITAÚ" xr:uid="{D740342A-9D67-476D-9A6D-3B70FD024D40}"/>
    <hyperlink ref="C1" location="ENTRADAS!A1" display="ENTRADAS" xr:uid="{432718E2-DC0C-4713-880F-BE8AD82B4C1F}"/>
    <hyperlink ref="D1" location="SAÍDA!A1" display="SAÍDA" xr:uid="{EBF9091B-B44A-446C-BA78-BE66585F6478}"/>
    <hyperlink ref="H1" location="INÍCIO!A1" display="INÍCIO" xr:uid="{1455021A-A9C7-41F7-8E62-00D2F2F19DA1}"/>
    <hyperlink ref="E1" location="INVESTIMENTO!A1" display="INVESTIMENTO" xr:uid="{883C83F6-47CD-430A-81D7-653C727286E6}"/>
    <hyperlink ref="G1" location="DEVO!A1" display="DEVO" xr:uid="{A878043A-5447-4AE0-BCEE-C7BD39DDCE7F}"/>
    <hyperlink ref="F1" location="DEVEM!A1" display="DEVEM" xr:uid="{35D28E4C-862E-4163-A978-253B537FAD73}"/>
  </hyperlinks>
  <pageMargins left="0.511811024" right="0.511811024" top="0.78740157499999996" bottom="0.78740157499999996" header="0.31496062000000002" footer="0.31496062000000002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F7E7-B3A0-4661-84A1-00A3F424447B}">
  <sheetPr codeName="Planilha5">
    <tabColor theme="9" tint="-0.249977111117893"/>
  </sheetPr>
  <dimension ref="A1:U151"/>
  <sheetViews>
    <sheetView showGridLines="0" topLeftCell="F1" zoomScaleNormal="100" workbookViewId="0">
      <pane ySplit="5" topLeftCell="A6" activePane="bottomLeft" state="frozen"/>
      <selection pane="bottomLeft" activeCell="P11" sqref="P11"/>
    </sheetView>
  </sheetViews>
  <sheetFormatPr defaultRowHeight="19.5" customHeight="1" x14ac:dyDescent="0.25"/>
  <cols>
    <col min="1" max="1" width="16" style="9" bestFit="1" customWidth="1"/>
    <col min="2" max="2" width="14.140625" style="10" customWidth="1"/>
    <col min="3" max="3" width="24.140625" customWidth="1"/>
    <col min="4" max="4" width="15.7109375" customWidth="1"/>
    <col min="5" max="5" width="18.42578125" customWidth="1"/>
    <col min="6" max="6" width="12.28515625" customWidth="1"/>
    <col min="7" max="7" width="13.7109375" customWidth="1"/>
    <col min="8" max="8" width="3.7109375" customWidth="1"/>
    <col min="9" max="9" width="12.28515625" style="9" customWidth="1"/>
    <col min="10" max="10" width="11.7109375" customWidth="1"/>
    <col min="11" max="11" width="13.28515625" customWidth="1"/>
    <col min="12" max="12" width="17.42578125" style="1" customWidth="1"/>
    <col min="13" max="13" width="15.85546875" customWidth="1"/>
    <col min="17" max="17" width="9.5703125" bestFit="1" customWidth="1"/>
  </cols>
  <sheetData>
    <row r="1" spans="1:21" s="4" customFormat="1" ht="19.5" customHeight="1" x14ac:dyDescent="0.25">
      <c r="A1" s="5" t="s">
        <v>58</v>
      </c>
      <c r="B1" s="6" t="s">
        <v>0</v>
      </c>
      <c r="C1" s="28" t="s">
        <v>4</v>
      </c>
      <c r="D1" s="26" t="s">
        <v>27</v>
      </c>
      <c r="E1" s="52" t="s">
        <v>32</v>
      </c>
      <c r="F1" s="43" t="s">
        <v>40</v>
      </c>
      <c r="G1" s="76" t="s">
        <v>39</v>
      </c>
      <c r="I1" s="20"/>
      <c r="L1" s="22"/>
      <c r="M1" s="30" t="s">
        <v>28</v>
      </c>
    </row>
    <row r="2" spans="1:21" ht="19.5" customHeight="1" thickBot="1" x14ac:dyDescent="0.3">
      <c r="H2" s="45"/>
    </row>
    <row r="3" spans="1:21" ht="19.5" customHeight="1" thickTop="1" thickBot="1" x14ac:dyDescent="0.55000000000000004">
      <c r="A3"/>
      <c r="I3" s="57" t="s">
        <v>2</v>
      </c>
      <c r="J3" s="58" t="s">
        <v>3</v>
      </c>
      <c r="K3" s="58" t="s">
        <v>1</v>
      </c>
      <c r="L3" s="59" t="s">
        <v>36</v>
      </c>
      <c r="M3" s="82" t="s">
        <v>37</v>
      </c>
      <c r="O3" s="42"/>
      <c r="P3" s="42"/>
      <c r="Q3" s="42"/>
      <c r="R3" s="42"/>
      <c r="S3" s="42"/>
      <c r="T3" s="42"/>
      <c r="U3" s="42"/>
    </row>
    <row r="4" spans="1:21" ht="52.5" customHeight="1" thickTop="1" thickBot="1" x14ac:dyDescent="0.3">
      <c r="A4"/>
      <c r="I4" s="71"/>
      <c r="J4" s="72"/>
      <c r="K4" s="72"/>
      <c r="L4" s="73"/>
      <c r="M4" s="81" t="str">
        <f>IF(A95="","","AUMENTAR!")</f>
        <v/>
      </c>
    </row>
    <row r="5" spans="1:21" ht="41.25" customHeight="1" thickTop="1" thickBot="1" x14ac:dyDescent="0.3">
      <c r="A5"/>
      <c r="I5" s="174"/>
      <c r="J5" s="175"/>
      <c r="K5" s="175"/>
      <c r="L5" s="176"/>
      <c r="M5" s="80"/>
    </row>
    <row r="6" spans="1:21" ht="19.5" customHeight="1" thickTop="1" x14ac:dyDescent="0.5">
      <c r="G6" s="56"/>
      <c r="J6" s="42"/>
      <c r="K6" s="42"/>
      <c r="L6" s="42"/>
      <c r="M6" s="42"/>
    </row>
    <row r="7" spans="1:21" ht="29.25" customHeight="1" x14ac:dyDescent="0.5">
      <c r="G7" s="9"/>
      <c r="I7" s="177" t="s">
        <v>24</v>
      </c>
      <c r="J7" s="178"/>
      <c r="K7" s="178"/>
      <c r="L7" s="178"/>
      <c r="M7" s="179"/>
    </row>
    <row r="8" spans="1:21" ht="19.5" customHeight="1" x14ac:dyDescent="0.25">
      <c r="G8" s="9"/>
      <c r="I8" s="21" t="s">
        <v>2</v>
      </c>
      <c r="J8" s="11" t="s">
        <v>5</v>
      </c>
      <c r="K8" s="12" t="s">
        <v>3</v>
      </c>
      <c r="L8" s="13" t="s">
        <v>1</v>
      </c>
      <c r="M8" s="12" t="s">
        <v>23</v>
      </c>
    </row>
    <row r="9" spans="1:21" ht="19.5" customHeight="1" x14ac:dyDescent="0.25">
      <c r="G9" s="9"/>
      <c r="I9" s="9" t="s">
        <v>7</v>
      </c>
      <c r="J9" t="s">
        <v>7</v>
      </c>
      <c r="K9" t="s">
        <v>25</v>
      </c>
      <c r="L9" s="1" t="s">
        <v>10</v>
      </c>
      <c r="M9" t="s">
        <v>7</v>
      </c>
    </row>
    <row r="10" spans="1:21" ht="19.5" customHeight="1" x14ac:dyDescent="0.25">
      <c r="G10" s="9"/>
      <c r="I10" s="9">
        <v>46023</v>
      </c>
      <c r="J10">
        <f>MONTH(TbEntradaINDIVIDUAL[[#This Row],[DATA]])</f>
        <v>1</v>
      </c>
      <c r="K10" t="s">
        <v>70</v>
      </c>
      <c r="L10" s="1">
        <v>128.37</v>
      </c>
      <c r="M10" t="s">
        <v>58</v>
      </c>
    </row>
    <row r="11" spans="1:21" ht="19.5" customHeight="1" x14ac:dyDescent="0.25">
      <c r="G11" s="9"/>
      <c r="I11" s="9">
        <v>46023</v>
      </c>
      <c r="J11">
        <f>MONTH(TbEntradaINDIVIDUAL[[#This Row],[DATA]])</f>
        <v>1</v>
      </c>
      <c r="K11" s="95" t="s">
        <v>72</v>
      </c>
      <c r="L11" s="1">
        <v>14.73</v>
      </c>
      <c r="M11" t="s">
        <v>58</v>
      </c>
    </row>
    <row r="12" spans="1:21" ht="19.5" customHeight="1" x14ac:dyDescent="0.25">
      <c r="G12" s="9"/>
      <c r="I12" s="9">
        <v>46023</v>
      </c>
      <c r="J12">
        <f>MONTH(TbEntradaINDIVIDUAL[[#This Row],[DATA]])</f>
        <v>1</v>
      </c>
      <c r="K12" t="s">
        <v>220</v>
      </c>
      <c r="L12" s="1">
        <v>0.49</v>
      </c>
      <c r="M12" t="s">
        <v>58</v>
      </c>
    </row>
    <row r="13" spans="1:21" ht="19.5" customHeight="1" x14ac:dyDescent="0.25">
      <c r="G13" s="9"/>
      <c r="I13" s="9">
        <v>46031</v>
      </c>
      <c r="J13">
        <f>MONTH(TbEntradaINDIVIDUAL[[#This Row],[DATA]])</f>
        <v>1</v>
      </c>
      <c r="K13" t="s">
        <v>240</v>
      </c>
      <c r="L13" s="1">
        <v>3075.71</v>
      </c>
      <c r="M13" t="s">
        <v>58</v>
      </c>
    </row>
    <row r="14" spans="1:21" ht="19.5" customHeight="1" x14ac:dyDescent="0.25">
      <c r="G14" s="9"/>
      <c r="I14" s="9">
        <v>46059</v>
      </c>
      <c r="J14">
        <f>MONTH(TbEntradaINDIVIDUAL[[#This Row],[DATA]])</f>
        <v>2</v>
      </c>
      <c r="K14" t="s">
        <v>296</v>
      </c>
      <c r="L14" s="1">
        <v>4009.53</v>
      </c>
      <c r="M14" t="s">
        <v>58</v>
      </c>
    </row>
    <row r="15" spans="1:21" ht="19.5" customHeight="1" x14ac:dyDescent="0.25">
      <c r="G15" s="9"/>
      <c r="I15" s="9">
        <v>46087</v>
      </c>
      <c r="J15">
        <f>MONTH(TbEntradaINDIVIDUAL[[#This Row],[DATA]])</f>
        <v>3</v>
      </c>
      <c r="K15" t="s">
        <v>385</v>
      </c>
      <c r="L15" s="1">
        <v>3985.35</v>
      </c>
      <c r="M15" t="s">
        <v>58</v>
      </c>
    </row>
    <row r="16" spans="1:21" ht="19.5" customHeight="1" x14ac:dyDescent="0.25">
      <c r="G16" s="9"/>
      <c r="I16" s="9">
        <v>46120</v>
      </c>
      <c r="J16">
        <f>MONTH(TbEntradaINDIVIDUAL[[#This Row],[DATA]])</f>
        <v>4</v>
      </c>
      <c r="K16" t="s">
        <v>410</v>
      </c>
      <c r="L16" s="1">
        <v>4177.8</v>
      </c>
      <c r="M16" t="s">
        <v>58</v>
      </c>
    </row>
    <row r="17" spans="7:14" ht="19.5" customHeight="1" x14ac:dyDescent="0.25">
      <c r="G17" s="9"/>
      <c r="J17">
        <f>MONTH(TbEntradaINDIVIDUAL[[#This Row],[DATA]])</f>
        <v>1</v>
      </c>
    </row>
    <row r="18" spans="7:14" ht="19.5" customHeight="1" x14ac:dyDescent="0.25">
      <c r="G18" s="1"/>
      <c r="J18">
        <f>MONTH(TbEntradaINDIVIDUAL[[#This Row],[DATA]])</f>
        <v>1</v>
      </c>
    </row>
    <row r="19" spans="7:14" ht="19.5" customHeight="1" x14ac:dyDescent="0.25">
      <c r="G19" s="1"/>
      <c r="J19">
        <f>MONTH(TbEntradaINDIVIDUAL[[#This Row],[DATA]])</f>
        <v>1</v>
      </c>
    </row>
    <row r="20" spans="7:14" ht="19.5" customHeight="1" x14ac:dyDescent="0.25">
      <c r="G20" s="1"/>
      <c r="J20">
        <f>MONTH(TbEntradaINDIVIDUAL[[#This Row],[DATA]])</f>
        <v>1</v>
      </c>
    </row>
    <row r="21" spans="7:14" ht="19.5" customHeight="1" x14ac:dyDescent="0.25">
      <c r="G21" s="1"/>
      <c r="I21" s="61"/>
      <c r="J21">
        <f>MONTH(TbEntradaINDIVIDUAL[[#This Row],[DATA]])</f>
        <v>1</v>
      </c>
      <c r="K21" s="95"/>
      <c r="L21" s="63"/>
      <c r="M21" s="62"/>
    </row>
    <row r="22" spans="7:14" ht="19.5" customHeight="1" x14ac:dyDescent="0.25">
      <c r="G22" s="1"/>
      <c r="J22">
        <f>MONTH(TbEntradaINDIVIDUAL[[#This Row],[DATA]])</f>
        <v>1</v>
      </c>
    </row>
    <row r="23" spans="7:14" ht="19.5" customHeight="1" x14ac:dyDescent="0.25">
      <c r="G23" s="1"/>
      <c r="J23">
        <f>MONTH(TbEntradaINDIVIDUAL[[#This Row],[DATA]])</f>
        <v>1</v>
      </c>
    </row>
    <row r="24" spans="7:14" ht="19.5" customHeight="1" x14ac:dyDescent="0.25">
      <c r="G24" s="1"/>
      <c r="J24">
        <f>MONTH(TbEntradaINDIVIDUAL[[#This Row],[DATA]])</f>
        <v>1</v>
      </c>
    </row>
    <row r="25" spans="7:14" ht="19.5" customHeight="1" x14ac:dyDescent="0.25">
      <c r="G25" s="1"/>
      <c r="J25">
        <f>MONTH(TbEntradaINDIVIDUAL[[#This Row],[DATA]])</f>
        <v>1</v>
      </c>
    </row>
    <row r="26" spans="7:14" ht="19.5" customHeight="1" x14ac:dyDescent="0.25">
      <c r="G26" s="1"/>
      <c r="J26">
        <f>MONTH(TbEntradaINDIVIDUAL[[#This Row],[DATA]])</f>
        <v>1</v>
      </c>
    </row>
    <row r="27" spans="7:14" ht="19.5" customHeight="1" x14ac:dyDescent="0.25">
      <c r="G27" s="1"/>
      <c r="J27">
        <f>MONTH(TbEntradaINDIVIDUAL[[#This Row],[DATA]])</f>
        <v>1</v>
      </c>
    </row>
    <row r="28" spans="7:14" ht="19.5" customHeight="1" x14ac:dyDescent="0.25">
      <c r="G28" s="1"/>
      <c r="J28">
        <f>MONTH(TbEntradaINDIVIDUAL[[#This Row],[DATA]])</f>
        <v>1</v>
      </c>
    </row>
    <row r="29" spans="7:14" ht="19.5" customHeight="1" x14ac:dyDescent="0.25">
      <c r="G29" s="1"/>
      <c r="J29">
        <f>MONTH(TbEntradaINDIVIDUAL[[#This Row],[DATA]])</f>
        <v>1</v>
      </c>
      <c r="N29" s="1"/>
    </row>
    <row r="30" spans="7:14" ht="19.5" customHeight="1" x14ac:dyDescent="0.25">
      <c r="G30" s="1"/>
      <c r="J30">
        <f>MONTH(TbEntradaINDIVIDUAL[[#This Row],[DATA]])</f>
        <v>1</v>
      </c>
    </row>
    <row r="31" spans="7:14" ht="19.5" customHeight="1" x14ac:dyDescent="0.25">
      <c r="G31" s="1"/>
      <c r="J31">
        <f>MONTH(TbEntradaINDIVIDUAL[[#This Row],[DATA]])</f>
        <v>1</v>
      </c>
    </row>
    <row r="32" spans="7:14" ht="19.5" customHeight="1" x14ac:dyDescent="0.25">
      <c r="G32" s="1"/>
      <c r="J32">
        <f>MONTH(TbEntradaINDIVIDUAL[[#This Row],[DATA]])</f>
        <v>1</v>
      </c>
    </row>
    <row r="33" spans="7:10" ht="19.5" customHeight="1" x14ac:dyDescent="0.25">
      <c r="G33" s="1"/>
      <c r="J33">
        <f>MONTH(TbEntradaINDIVIDUAL[[#This Row],[DATA]])</f>
        <v>1</v>
      </c>
    </row>
    <row r="34" spans="7:10" ht="19.5" customHeight="1" x14ac:dyDescent="0.25">
      <c r="G34" s="1"/>
      <c r="J34">
        <f>MONTH(TbEntradaINDIVIDUAL[[#This Row],[DATA]])</f>
        <v>1</v>
      </c>
    </row>
    <row r="35" spans="7:10" ht="19.5" customHeight="1" x14ac:dyDescent="0.25">
      <c r="G35" s="1"/>
      <c r="J35">
        <f>MONTH(TbEntradaINDIVIDUAL[[#This Row],[DATA]])</f>
        <v>1</v>
      </c>
    </row>
    <row r="36" spans="7:10" ht="19.5" customHeight="1" x14ac:dyDescent="0.25">
      <c r="G36" s="1"/>
      <c r="J36">
        <f>MONTH(TbEntradaINDIVIDUAL[[#This Row],[DATA]])</f>
        <v>1</v>
      </c>
    </row>
    <row r="37" spans="7:10" ht="19.5" customHeight="1" x14ac:dyDescent="0.25">
      <c r="G37" s="1"/>
      <c r="J37">
        <f>MONTH(TbEntradaINDIVIDUAL[[#This Row],[DATA]])</f>
        <v>1</v>
      </c>
    </row>
    <row r="38" spans="7:10" ht="19.5" customHeight="1" x14ac:dyDescent="0.25">
      <c r="G38" s="1"/>
      <c r="J38">
        <f>MONTH(TbEntradaINDIVIDUAL[[#This Row],[DATA]])</f>
        <v>1</v>
      </c>
    </row>
    <row r="39" spans="7:10" ht="19.5" customHeight="1" x14ac:dyDescent="0.25">
      <c r="G39" s="1"/>
      <c r="J39">
        <f>MONTH(TbEntradaINDIVIDUAL[[#This Row],[DATA]])</f>
        <v>1</v>
      </c>
    </row>
    <row r="40" spans="7:10" ht="19.5" customHeight="1" x14ac:dyDescent="0.25">
      <c r="G40" s="1"/>
      <c r="J40">
        <f>MONTH(TbEntradaINDIVIDUAL[[#This Row],[DATA]])</f>
        <v>1</v>
      </c>
    </row>
    <row r="41" spans="7:10" ht="19.5" customHeight="1" x14ac:dyDescent="0.25">
      <c r="G41" s="1"/>
      <c r="J41">
        <f>MONTH(TbEntradaINDIVIDUAL[[#This Row],[DATA]])</f>
        <v>1</v>
      </c>
    </row>
    <row r="42" spans="7:10" ht="19.5" customHeight="1" x14ac:dyDescent="0.25">
      <c r="G42" s="1"/>
      <c r="J42">
        <f>MONTH(TbEntradaINDIVIDUAL[[#This Row],[DATA]])</f>
        <v>1</v>
      </c>
    </row>
    <row r="43" spans="7:10" ht="19.5" customHeight="1" x14ac:dyDescent="0.25">
      <c r="G43" s="1"/>
      <c r="J43">
        <f>MONTH(TbEntradaINDIVIDUAL[[#This Row],[DATA]])</f>
        <v>1</v>
      </c>
    </row>
    <row r="44" spans="7:10" ht="19.5" customHeight="1" x14ac:dyDescent="0.25">
      <c r="G44" s="1"/>
      <c r="J44">
        <f>MONTH(TbEntradaINDIVIDUAL[[#This Row],[DATA]])</f>
        <v>1</v>
      </c>
    </row>
    <row r="45" spans="7:10" ht="19.5" customHeight="1" x14ac:dyDescent="0.25">
      <c r="G45" s="1"/>
      <c r="J45">
        <f>MONTH(TbEntradaINDIVIDUAL[[#This Row],[DATA]])</f>
        <v>1</v>
      </c>
    </row>
    <row r="46" spans="7:10" ht="19.5" customHeight="1" x14ac:dyDescent="0.25">
      <c r="G46" s="1"/>
      <c r="J46">
        <f>MONTH(TbEntradaINDIVIDUAL[[#This Row],[DATA]])</f>
        <v>1</v>
      </c>
    </row>
    <row r="47" spans="7:10" ht="19.5" customHeight="1" x14ac:dyDescent="0.25">
      <c r="G47" s="1"/>
      <c r="J47">
        <f>MONTH(TbEntradaINDIVIDUAL[[#This Row],[DATA]])</f>
        <v>1</v>
      </c>
    </row>
    <row r="48" spans="7:10" ht="19.5" customHeight="1" x14ac:dyDescent="0.25">
      <c r="G48" s="1"/>
      <c r="J48">
        <f>MONTH(TbEntradaINDIVIDUAL[[#This Row],[DATA]])</f>
        <v>1</v>
      </c>
    </row>
    <row r="49" spans="7:10" ht="19.5" customHeight="1" x14ac:dyDescent="0.25">
      <c r="G49" s="1"/>
      <c r="J49">
        <f>MONTH(TbEntradaINDIVIDUAL[[#This Row],[DATA]])</f>
        <v>1</v>
      </c>
    </row>
    <row r="50" spans="7:10" ht="19.5" customHeight="1" x14ac:dyDescent="0.25">
      <c r="G50" s="1"/>
      <c r="J50">
        <f>MONTH(TbEntradaINDIVIDUAL[[#This Row],[DATA]])</f>
        <v>1</v>
      </c>
    </row>
    <row r="51" spans="7:10" ht="19.5" customHeight="1" x14ac:dyDescent="0.25">
      <c r="G51" s="1"/>
      <c r="J51">
        <f>MONTH(TbEntradaINDIVIDUAL[[#This Row],[DATA]])</f>
        <v>1</v>
      </c>
    </row>
    <row r="52" spans="7:10" ht="19.5" customHeight="1" x14ac:dyDescent="0.25">
      <c r="G52" s="1"/>
      <c r="J52">
        <f>MONTH(TbEntradaINDIVIDUAL[[#This Row],[DATA]])</f>
        <v>1</v>
      </c>
    </row>
    <row r="53" spans="7:10" ht="19.5" customHeight="1" x14ac:dyDescent="0.25">
      <c r="G53" s="1"/>
      <c r="J53">
        <f>MONTH(TbEntradaINDIVIDUAL[[#This Row],[DATA]])</f>
        <v>1</v>
      </c>
    </row>
    <row r="54" spans="7:10" ht="19.5" customHeight="1" x14ac:dyDescent="0.25">
      <c r="G54" s="1"/>
      <c r="J54">
        <f>MONTH(TbEntradaINDIVIDUAL[[#This Row],[DATA]])</f>
        <v>1</v>
      </c>
    </row>
    <row r="55" spans="7:10" ht="19.5" customHeight="1" x14ac:dyDescent="0.25">
      <c r="G55" s="1"/>
      <c r="J55">
        <f>MONTH(TbEntradaINDIVIDUAL[[#This Row],[DATA]])</f>
        <v>1</v>
      </c>
    </row>
    <row r="56" spans="7:10" ht="19.5" customHeight="1" x14ac:dyDescent="0.25">
      <c r="G56" s="1"/>
      <c r="J56">
        <f>MONTH(TbEntradaINDIVIDUAL[[#This Row],[DATA]])</f>
        <v>1</v>
      </c>
    </row>
    <row r="57" spans="7:10" ht="19.5" customHeight="1" x14ac:dyDescent="0.25">
      <c r="G57" s="1"/>
      <c r="J57">
        <f>MONTH(TbEntradaINDIVIDUAL[[#This Row],[DATA]])</f>
        <v>1</v>
      </c>
    </row>
    <row r="58" spans="7:10" ht="19.5" customHeight="1" x14ac:dyDescent="0.25">
      <c r="G58" s="1"/>
      <c r="J58">
        <f>MONTH(TbEntradaINDIVIDUAL[[#This Row],[DATA]])</f>
        <v>1</v>
      </c>
    </row>
    <row r="59" spans="7:10" ht="19.5" customHeight="1" x14ac:dyDescent="0.25">
      <c r="G59" s="1"/>
      <c r="J59">
        <f>MONTH(TbEntradaINDIVIDUAL[[#This Row],[DATA]])</f>
        <v>1</v>
      </c>
    </row>
    <row r="60" spans="7:10" ht="19.5" customHeight="1" x14ac:dyDescent="0.25">
      <c r="G60" s="1"/>
      <c r="J60">
        <f>MONTH(TbEntradaINDIVIDUAL[[#This Row],[DATA]])</f>
        <v>1</v>
      </c>
    </row>
    <row r="61" spans="7:10" ht="19.5" customHeight="1" x14ac:dyDescent="0.25">
      <c r="G61" s="1"/>
      <c r="J61">
        <f>MONTH(TbEntradaINDIVIDUAL[[#This Row],[DATA]])</f>
        <v>1</v>
      </c>
    </row>
    <row r="62" spans="7:10" ht="19.5" customHeight="1" x14ac:dyDescent="0.25">
      <c r="G62" s="1"/>
      <c r="J62">
        <f>MONTH(TbEntradaINDIVIDUAL[[#This Row],[DATA]])</f>
        <v>1</v>
      </c>
    </row>
    <row r="63" spans="7:10" ht="19.5" customHeight="1" x14ac:dyDescent="0.25">
      <c r="G63" s="1"/>
      <c r="J63">
        <f>MONTH(TbEntradaINDIVIDUAL[[#This Row],[DATA]])</f>
        <v>1</v>
      </c>
    </row>
    <row r="64" spans="7:10" ht="19.5" customHeight="1" x14ac:dyDescent="0.25">
      <c r="G64" s="1"/>
      <c r="J64">
        <f>MONTH(TbEntradaINDIVIDUAL[[#This Row],[DATA]])</f>
        <v>1</v>
      </c>
    </row>
    <row r="65" spans="7:10" ht="19.5" customHeight="1" x14ac:dyDescent="0.25">
      <c r="G65" s="1"/>
      <c r="J65">
        <f>MONTH(TbEntradaINDIVIDUAL[[#This Row],[DATA]])</f>
        <v>1</v>
      </c>
    </row>
    <row r="66" spans="7:10" ht="19.5" customHeight="1" x14ac:dyDescent="0.25">
      <c r="G66" s="1"/>
      <c r="J66">
        <f>MONTH(TbEntradaINDIVIDUAL[[#This Row],[DATA]])</f>
        <v>1</v>
      </c>
    </row>
    <row r="67" spans="7:10" ht="19.5" customHeight="1" x14ac:dyDescent="0.25">
      <c r="G67" s="1"/>
      <c r="J67">
        <f>MONTH(TbEntradaINDIVIDUAL[[#This Row],[DATA]])</f>
        <v>1</v>
      </c>
    </row>
    <row r="68" spans="7:10" ht="19.5" customHeight="1" x14ac:dyDescent="0.25">
      <c r="G68" s="1"/>
      <c r="J68">
        <f>MONTH(TbEntradaINDIVIDUAL[[#This Row],[DATA]])</f>
        <v>1</v>
      </c>
    </row>
    <row r="69" spans="7:10" ht="19.5" customHeight="1" x14ac:dyDescent="0.25">
      <c r="G69" s="1"/>
      <c r="J69">
        <f>MONTH(TbEntradaINDIVIDUAL[[#This Row],[DATA]])</f>
        <v>1</v>
      </c>
    </row>
    <row r="70" spans="7:10" ht="19.5" customHeight="1" x14ac:dyDescent="0.25">
      <c r="G70" s="1"/>
      <c r="J70">
        <f>MONTH(TbEntradaINDIVIDUAL[[#This Row],[DATA]])</f>
        <v>1</v>
      </c>
    </row>
    <row r="71" spans="7:10" ht="19.5" customHeight="1" x14ac:dyDescent="0.25">
      <c r="G71" s="1"/>
      <c r="J71">
        <f>MONTH(TbEntradaINDIVIDUAL[[#This Row],[DATA]])</f>
        <v>1</v>
      </c>
    </row>
    <row r="72" spans="7:10" ht="19.5" customHeight="1" x14ac:dyDescent="0.25">
      <c r="G72" s="1"/>
      <c r="J72">
        <f>MONTH(TbEntradaINDIVIDUAL[[#This Row],[DATA]])</f>
        <v>1</v>
      </c>
    </row>
    <row r="73" spans="7:10" ht="19.5" customHeight="1" x14ac:dyDescent="0.25">
      <c r="G73" s="1"/>
      <c r="J73">
        <f>MONTH(TbEntradaINDIVIDUAL[[#This Row],[DATA]])</f>
        <v>1</v>
      </c>
    </row>
    <row r="74" spans="7:10" ht="19.5" customHeight="1" x14ac:dyDescent="0.25">
      <c r="G74" s="1"/>
      <c r="J74">
        <f>MONTH(TbEntradaINDIVIDUAL[[#This Row],[DATA]])</f>
        <v>1</v>
      </c>
    </row>
    <row r="75" spans="7:10" ht="19.5" customHeight="1" x14ac:dyDescent="0.25">
      <c r="G75" s="1"/>
      <c r="J75">
        <f>MONTH(TbEntradaINDIVIDUAL[[#This Row],[DATA]])</f>
        <v>1</v>
      </c>
    </row>
    <row r="76" spans="7:10" ht="19.5" customHeight="1" x14ac:dyDescent="0.25">
      <c r="G76" s="1"/>
      <c r="J76">
        <f>MONTH(TbEntradaINDIVIDUAL[[#This Row],[DATA]])</f>
        <v>1</v>
      </c>
    </row>
    <row r="77" spans="7:10" ht="19.5" customHeight="1" x14ac:dyDescent="0.25">
      <c r="G77" s="1"/>
      <c r="J77">
        <f>MONTH(TbEntradaINDIVIDUAL[[#This Row],[DATA]])</f>
        <v>1</v>
      </c>
    </row>
    <row r="78" spans="7:10" ht="19.5" customHeight="1" x14ac:dyDescent="0.25">
      <c r="G78" s="1"/>
      <c r="J78">
        <f>MONTH(TbEntradaINDIVIDUAL[[#This Row],[DATA]])</f>
        <v>1</v>
      </c>
    </row>
    <row r="79" spans="7:10" ht="19.5" customHeight="1" x14ac:dyDescent="0.25">
      <c r="G79" s="1"/>
      <c r="J79">
        <f>MONTH(TbEntradaINDIVIDUAL[[#This Row],[DATA]])</f>
        <v>1</v>
      </c>
    </row>
    <row r="80" spans="7:10" ht="19.5" customHeight="1" x14ac:dyDescent="0.25">
      <c r="G80" s="1"/>
      <c r="J80">
        <f>MONTH(TbEntradaINDIVIDUAL[[#This Row],[DATA]])</f>
        <v>1</v>
      </c>
    </row>
    <row r="81" spans="7:10" ht="19.5" customHeight="1" x14ac:dyDescent="0.25">
      <c r="G81" s="1"/>
      <c r="J81">
        <f>MONTH(TbEntradaINDIVIDUAL[[#This Row],[DATA]])</f>
        <v>1</v>
      </c>
    </row>
    <row r="82" spans="7:10" ht="19.5" customHeight="1" x14ac:dyDescent="0.25">
      <c r="G82" s="1"/>
      <c r="J82">
        <f>MONTH(TbEntradaINDIVIDUAL[[#This Row],[DATA]])</f>
        <v>1</v>
      </c>
    </row>
    <row r="83" spans="7:10" ht="19.5" customHeight="1" x14ac:dyDescent="0.25">
      <c r="G83" s="1"/>
      <c r="J83">
        <f>MONTH(TbEntradaINDIVIDUAL[[#This Row],[DATA]])</f>
        <v>1</v>
      </c>
    </row>
    <row r="84" spans="7:10" ht="19.5" customHeight="1" x14ac:dyDescent="0.25">
      <c r="G84" s="1"/>
      <c r="J84">
        <f>MONTH(TbEntradaINDIVIDUAL[[#This Row],[DATA]])</f>
        <v>1</v>
      </c>
    </row>
    <row r="85" spans="7:10" ht="19.5" customHeight="1" x14ac:dyDescent="0.25">
      <c r="G85" s="1"/>
      <c r="J85">
        <f>MONTH(TbEntradaINDIVIDUAL[[#This Row],[DATA]])</f>
        <v>1</v>
      </c>
    </row>
    <row r="86" spans="7:10" ht="19.5" customHeight="1" x14ac:dyDescent="0.25">
      <c r="G86" s="1"/>
      <c r="J86">
        <f>MONTH(TbEntradaINDIVIDUAL[[#This Row],[DATA]])</f>
        <v>1</v>
      </c>
    </row>
    <row r="87" spans="7:10" ht="19.5" customHeight="1" x14ac:dyDescent="0.25">
      <c r="G87" s="1"/>
      <c r="J87">
        <f>MONTH(TbEntradaINDIVIDUAL[[#This Row],[DATA]])</f>
        <v>1</v>
      </c>
    </row>
    <row r="88" spans="7:10" ht="19.5" customHeight="1" x14ac:dyDescent="0.25">
      <c r="G88" s="1"/>
      <c r="J88">
        <f>MONTH(TbEntradaINDIVIDUAL[[#This Row],[DATA]])</f>
        <v>1</v>
      </c>
    </row>
    <row r="89" spans="7:10" ht="19.5" customHeight="1" x14ac:dyDescent="0.25">
      <c r="G89" s="1"/>
      <c r="J89">
        <f>MONTH(TbEntradaINDIVIDUAL[[#This Row],[DATA]])</f>
        <v>1</v>
      </c>
    </row>
    <row r="90" spans="7:10" ht="19.5" customHeight="1" x14ac:dyDescent="0.25">
      <c r="G90" s="1"/>
      <c r="J90">
        <f>MONTH(TbEntradaINDIVIDUAL[[#This Row],[DATA]])</f>
        <v>1</v>
      </c>
    </row>
    <row r="91" spans="7:10" ht="19.5" customHeight="1" x14ac:dyDescent="0.25">
      <c r="G91" s="1"/>
      <c r="J91">
        <f>MONTH(TbEntradaINDIVIDUAL[[#This Row],[DATA]])</f>
        <v>1</v>
      </c>
    </row>
    <row r="92" spans="7:10" ht="19.5" customHeight="1" x14ac:dyDescent="0.25">
      <c r="G92" s="1"/>
      <c r="J92">
        <f>MONTH(TbEntradaINDIVIDUAL[[#This Row],[DATA]])</f>
        <v>1</v>
      </c>
    </row>
    <row r="93" spans="7:10" ht="19.5" customHeight="1" x14ac:dyDescent="0.25">
      <c r="G93" s="1"/>
      <c r="J93">
        <f>MONTH(TbEntradaINDIVIDUAL[[#This Row],[DATA]])</f>
        <v>1</v>
      </c>
    </row>
    <row r="94" spans="7:10" ht="19.5" customHeight="1" x14ac:dyDescent="0.25">
      <c r="G94" s="1"/>
      <c r="J94">
        <f>MONTH(TbEntradaINDIVIDUAL[[#This Row],[DATA]])</f>
        <v>1</v>
      </c>
    </row>
    <row r="95" spans="7:10" ht="19.5" customHeight="1" x14ac:dyDescent="0.25">
      <c r="G95" s="1"/>
      <c r="J95">
        <f>MONTH(TbEntradaINDIVIDUAL[[#This Row],[DATA]])</f>
        <v>1</v>
      </c>
    </row>
    <row r="96" spans="7:10" ht="19.5" customHeight="1" x14ac:dyDescent="0.25">
      <c r="G96" s="1"/>
      <c r="J96">
        <f>MONTH(TbEntradaINDIVIDUAL[[#This Row],[DATA]])</f>
        <v>1</v>
      </c>
    </row>
    <row r="97" spans="4:12" ht="19.5" customHeight="1" x14ac:dyDescent="0.25">
      <c r="G97" s="1"/>
      <c r="J97">
        <f>MONTH(TbEntradaINDIVIDUAL[[#This Row],[DATA]])</f>
        <v>1</v>
      </c>
    </row>
    <row r="98" spans="4:12" ht="19.5" customHeight="1" x14ac:dyDescent="0.25">
      <c r="G98" s="1"/>
      <c r="J98">
        <f>MONTH(TbEntradaINDIVIDUAL[[#This Row],[DATA]])</f>
        <v>1</v>
      </c>
    </row>
    <row r="99" spans="4:12" ht="19.5" customHeight="1" x14ac:dyDescent="0.25">
      <c r="G99" s="1"/>
      <c r="J99">
        <f>MONTH(TbEntradaINDIVIDUAL[[#This Row],[DATA]])</f>
        <v>1</v>
      </c>
    </row>
    <row r="100" spans="4:12" ht="19.5" customHeight="1" x14ac:dyDescent="0.25">
      <c r="G100" s="1"/>
      <c r="J100">
        <f>MONTH(TbEntradaINDIVIDUAL[[#This Row],[DATA]])</f>
        <v>1</v>
      </c>
    </row>
    <row r="101" spans="4:12" ht="19.5" customHeight="1" x14ac:dyDescent="0.25">
      <c r="G101" s="1"/>
      <c r="I101" t="s">
        <v>6</v>
      </c>
      <c r="L101" s="1">
        <f>SUBTOTAL(109,TbEntradaINDIVIDUAL[VALOR])</f>
        <v>15391.98</v>
      </c>
    </row>
    <row r="102" spans="4:12" ht="19.5" customHeight="1" x14ac:dyDescent="0.25">
      <c r="D102" s="1"/>
      <c r="E102" s="1"/>
      <c r="F102" s="1"/>
      <c r="G102" s="1"/>
    </row>
    <row r="103" spans="4:12" ht="19.5" customHeight="1" x14ac:dyDescent="0.25">
      <c r="D103" s="1"/>
      <c r="E103" s="1"/>
      <c r="F103" s="1"/>
      <c r="G103" s="1"/>
    </row>
    <row r="104" spans="4:12" ht="19.5" customHeight="1" x14ac:dyDescent="0.25">
      <c r="D104" s="1"/>
      <c r="E104" s="1"/>
      <c r="F104" s="1"/>
      <c r="G104" s="1"/>
    </row>
    <row r="105" spans="4:12" ht="19.5" customHeight="1" x14ac:dyDescent="0.25">
      <c r="D105" s="1"/>
      <c r="E105" s="1"/>
      <c r="F105" s="1"/>
      <c r="G105" s="1"/>
    </row>
    <row r="106" spans="4:12" ht="19.5" customHeight="1" x14ac:dyDescent="0.25">
      <c r="D106" s="1"/>
      <c r="E106" s="1"/>
      <c r="F106" s="1"/>
      <c r="G106" s="1"/>
    </row>
    <row r="107" spans="4:12" ht="19.5" customHeight="1" x14ac:dyDescent="0.25">
      <c r="D107" s="1"/>
      <c r="E107" s="1"/>
      <c r="F107" s="1"/>
      <c r="G107" s="1"/>
    </row>
    <row r="108" spans="4:12" ht="19.5" customHeight="1" x14ac:dyDescent="0.25">
      <c r="D108" s="1"/>
      <c r="E108" s="1"/>
      <c r="F108" s="1"/>
      <c r="G108" s="1"/>
    </row>
    <row r="109" spans="4:12" ht="19.5" customHeight="1" x14ac:dyDescent="0.25">
      <c r="D109" s="1"/>
      <c r="E109" s="1"/>
      <c r="F109" s="1"/>
      <c r="G109" s="1"/>
    </row>
    <row r="110" spans="4:12" ht="19.5" customHeight="1" x14ac:dyDescent="0.25">
      <c r="D110" s="1"/>
      <c r="E110" s="1"/>
      <c r="F110" s="1"/>
      <c r="G110" s="1"/>
    </row>
    <row r="111" spans="4:12" ht="19.5" customHeight="1" x14ac:dyDescent="0.25">
      <c r="D111" s="1"/>
      <c r="E111" s="1"/>
      <c r="F111" s="1"/>
      <c r="G111" s="1"/>
    </row>
    <row r="112" spans="4:12" ht="19.5" customHeight="1" x14ac:dyDescent="0.25">
      <c r="D112" s="1"/>
      <c r="E112" s="1"/>
      <c r="F112" s="1"/>
      <c r="G112" s="1"/>
    </row>
    <row r="113" spans="4:7" ht="19.5" customHeight="1" x14ac:dyDescent="0.25">
      <c r="D113" s="1"/>
      <c r="E113" s="1"/>
      <c r="F113" s="1"/>
      <c r="G113" s="1"/>
    </row>
    <row r="114" spans="4:7" ht="19.5" customHeight="1" x14ac:dyDescent="0.25">
      <c r="D114" s="1"/>
      <c r="E114" s="1"/>
      <c r="F114" s="1"/>
      <c r="G114" s="1"/>
    </row>
    <row r="115" spans="4:7" ht="19.5" customHeight="1" x14ac:dyDescent="0.25">
      <c r="D115" s="1"/>
      <c r="E115" s="1"/>
      <c r="F115" s="1"/>
      <c r="G115" s="1"/>
    </row>
    <row r="116" spans="4:7" ht="19.5" customHeight="1" x14ac:dyDescent="0.25">
      <c r="D116" s="1"/>
      <c r="E116" s="1"/>
      <c r="F116" s="1"/>
      <c r="G116" s="1"/>
    </row>
    <row r="117" spans="4:7" ht="19.5" customHeight="1" x14ac:dyDescent="0.25">
      <c r="D117" s="1"/>
      <c r="E117" s="1"/>
      <c r="F117" s="1"/>
      <c r="G117" s="1"/>
    </row>
    <row r="118" spans="4:7" ht="19.5" customHeight="1" x14ac:dyDescent="0.25">
      <c r="D118" s="1"/>
      <c r="E118" s="1"/>
      <c r="F118" s="1"/>
      <c r="G118" s="1"/>
    </row>
    <row r="119" spans="4:7" ht="19.5" customHeight="1" x14ac:dyDescent="0.25">
      <c r="D119" s="1"/>
      <c r="E119" s="1"/>
      <c r="F119" s="1"/>
      <c r="G119" s="1"/>
    </row>
    <row r="120" spans="4:7" ht="19.5" customHeight="1" x14ac:dyDescent="0.25">
      <c r="D120" s="1"/>
      <c r="E120" s="1"/>
      <c r="F120" s="1"/>
      <c r="G120" s="1"/>
    </row>
    <row r="121" spans="4:7" ht="19.5" customHeight="1" x14ac:dyDescent="0.25">
      <c r="D121" s="1"/>
      <c r="E121" s="1"/>
      <c r="F121" s="1"/>
      <c r="G121" s="1"/>
    </row>
    <row r="122" spans="4:7" ht="19.5" customHeight="1" x14ac:dyDescent="0.25">
      <c r="D122" s="1"/>
      <c r="E122" s="1"/>
      <c r="F122" s="1"/>
      <c r="G122" s="1"/>
    </row>
    <row r="123" spans="4:7" ht="19.5" customHeight="1" x14ac:dyDescent="0.25">
      <c r="D123" s="1"/>
      <c r="E123" s="1"/>
      <c r="F123" s="1"/>
      <c r="G123" s="1"/>
    </row>
    <row r="124" spans="4:7" ht="19.5" customHeight="1" x14ac:dyDescent="0.25">
      <c r="D124" s="1"/>
      <c r="E124" s="1"/>
      <c r="F124" s="1"/>
      <c r="G124" s="1"/>
    </row>
    <row r="125" spans="4:7" ht="19.5" customHeight="1" x14ac:dyDescent="0.25">
      <c r="D125" s="1"/>
      <c r="E125" s="1"/>
      <c r="F125" s="1"/>
      <c r="G125" s="1"/>
    </row>
    <row r="126" spans="4:7" ht="19.5" customHeight="1" x14ac:dyDescent="0.25">
      <c r="D126" s="1"/>
      <c r="E126" s="1"/>
      <c r="F126" s="1"/>
      <c r="G126" s="1"/>
    </row>
    <row r="127" spans="4:7" ht="19.5" customHeight="1" x14ac:dyDescent="0.25">
      <c r="D127" s="1"/>
      <c r="E127" s="1"/>
      <c r="F127" s="1"/>
      <c r="G127" s="1"/>
    </row>
    <row r="128" spans="4:7" ht="19.5" customHeight="1" x14ac:dyDescent="0.25">
      <c r="D128" s="1"/>
      <c r="E128" s="1"/>
      <c r="F128" s="1"/>
      <c r="G128" s="1"/>
    </row>
    <row r="129" spans="4:7" ht="19.5" customHeight="1" x14ac:dyDescent="0.25">
      <c r="D129" s="1"/>
      <c r="E129" s="1"/>
      <c r="F129" s="1"/>
      <c r="G129" s="1"/>
    </row>
    <row r="130" spans="4:7" ht="19.5" customHeight="1" x14ac:dyDescent="0.25">
      <c r="D130" s="1"/>
      <c r="E130" s="1"/>
      <c r="F130" s="1"/>
      <c r="G130" s="1"/>
    </row>
    <row r="131" spans="4:7" ht="19.5" customHeight="1" x14ac:dyDescent="0.25">
      <c r="D131" s="1"/>
      <c r="E131" s="1"/>
      <c r="F131" s="1"/>
      <c r="G131" s="1"/>
    </row>
    <row r="132" spans="4:7" ht="19.5" customHeight="1" x14ac:dyDescent="0.25">
      <c r="D132" s="1"/>
      <c r="E132" s="1"/>
      <c r="F132" s="1"/>
      <c r="G132" s="1"/>
    </row>
    <row r="133" spans="4:7" ht="19.5" customHeight="1" x14ac:dyDescent="0.25">
      <c r="D133" s="1"/>
      <c r="E133" s="1"/>
      <c r="F133" s="1"/>
      <c r="G133" s="1"/>
    </row>
    <row r="134" spans="4:7" ht="19.5" customHeight="1" x14ac:dyDescent="0.25">
      <c r="D134" s="1"/>
      <c r="E134" s="1"/>
      <c r="F134" s="1"/>
      <c r="G134" s="1"/>
    </row>
    <row r="135" spans="4:7" ht="19.5" customHeight="1" x14ac:dyDescent="0.25">
      <c r="D135" s="1"/>
      <c r="E135" s="1"/>
      <c r="F135" s="1"/>
      <c r="G135" s="1"/>
    </row>
    <row r="136" spans="4:7" ht="19.5" customHeight="1" x14ac:dyDescent="0.25">
      <c r="D136" s="1"/>
      <c r="E136" s="1"/>
      <c r="F136" s="1"/>
      <c r="G136" s="1"/>
    </row>
    <row r="137" spans="4:7" ht="19.5" customHeight="1" x14ac:dyDescent="0.25">
      <c r="D137" s="1"/>
      <c r="E137" s="1"/>
      <c r="F137" s="1"/>
      <c r="G137" s="1"/>
    </row>
    <row r="138" spans="4:7" ht="19.5" customHeight="1" x14ac:dyDescent="0.25">
      <c r="D138" s="1"/>
      <c r="E138" s="1"/>
      <c r="F138" s="1"/>
      <c r="G138" s="1"/>
    </row>
    <row r="139" spans="4:7" ht="19.5" customHeight="1" x14ac:dyDescent="0.25">
      <c r="D139" s="1"/>
      <c r="E139" s="1"/>
      <c r="F139" s="1"/>
      <c r="G139" s="1"/>
    </row>
    <row r="140" spans="4:7" ht="19.5" customHeight="1" x14ac:dyDescent="0.25">
      <c r="D140" s="1"/>
      <c r="E140" s="1"/>
      <c r="F140" s="1"/>
      <c r="G140" s="1"/>
    </row>
    <row r="141" spans="4:7" ht="19.5" customHeight="1" x14ac:dyDescent="0.25">
      <c r="D141" s="1"/>
      <c r="E141" s="1"/>
      <c r="F141" s="1"/>
      <c r="G141" s="1"/>
    </row>
    <row r="142" spans="4:7" ht="19.5" customHeight="1" x14ac:dyDescent="0.25">
      <c r="D142" s="1"/>
      <c r="E142" s="1"/>
      <c r="F142" s="1"/>
      <c r="G142" s="1"/>
    </row>
    <row r="143" spans="4:7" ht="19.5" customHeight="1" x14ac:dyDescent="0.25">
      <c r="D143" s="1"/>
      <c r="E143" s="1"/>
      <c r="F143" s="1"/>
      <c r="G143" s="1"/>
    </row>
    <row r="144" spans="4:7" ht="19.5" customHeight="1" x14ac:dyDescent="0.25">
      <c r="D144" s="1"/>
      <c r="E144" s="1"/>
      <c r="F144" s="1"/>
      <c r="G144" s="1"/>
    </row>
    <row r="145" spans="4:7" ht="19.5" customHeight="1" x14ac:dyDescent="0.25">
      <c r="D145" s="1"/>
      <c r="E145" s="1"/>
      <c r="F145" s="1"/>
      <c r="G145" s="1"/>
    </row>
    <row r="146" spans="4:7" ht="19.5" customHeight="1" x14ac:dyDescent="0.25">
      <c r="D146" s="1"/>
      <c r="E146" s="1"/>
      <c r="F146" s="1"/>
      <c r="G146" s="1"/>
    </row>
    <row r="147" spans="4:7" ht="19.5" customHeight="1" x14ac:dyDescent="0.25">
      <c r="D147" s="1"/>
      <c r="E147" s="1"/>
      <c r="F147" s="1"/>
      <c r="G147" s="1"/>
    </row>
    <row r="148" spans="4:7" ht="19.5" customHeight="1" x14ac:dyDescent="0.25">
      <c r="D148" s="1"/>
      <c r="E148" s="1"/>
      <c r="F148" s="1"/>
      <c r="G148" s="1"/>
    </row>
    <row r="149" spans="4:7" ht="19.5" customHeight="1" x14ac:dyDescent="0.25">
      <c r="D149" s="1"/>
      <c r="E149" s="1"/>
      <c r="F149" s="1"/>
      <c r="G149" s="1"/>
    </row>
    <row r="150" spans="4:7" ht="19.5" customHeight="1" x14ac:dyDescent="0.25">
      <c r="D150" s="1"/>
      <c r="E150" s="1"/>
      <c r="F150" s="1"/>
      <c r="G150" s="1"/>
    </row>
    <row r="151" spans="4:7" ht="19.5" customHeight="1" x14ac:dyDescent="0.25">
      <c r="D151" s="1"/>
      <c r="E151" s="1"/>
      <c r="F151" s="1"/>
      <c r="G151" s="1"/>
    </row>
  </sheetData>
  <mergeCells count="2">
    <mergeCell ref="I5:L5"/>
    <mergeCell ref="I7:M7"/>
  </mergeCells>
  <phoneticPr fontId="8" type="noConversion"/>
  <dataValidations count="6">
    <dataValidation type="list" errorStyle="warning" allowBlank="1" showInputMessage="1" sqref="C102:C103" xr:uid="{5EFFC967-D0DB-427D-B896-8F7AB12AD75E}">
      <formula1>"Corinthians, Projeto Renato, MesadaPai,"</formula1>
    </dataValidation>
    <dataValidation type="list" allowBlank="1" showInputMessage="1" showErrorMessage="1" sqref="M102:M151 M9 M17:M100" xr:uid="{6236504D-8AC6-4E8E-815D-6ACABB1AAE71}">
      <formula1>"ITAÚ,MP"</formula1>
    </dataValidation>
    <dataValidation type="list" allowBlank="1" showInputMessage="1" sqref="K102:K151 J4 K9:K11 K13:K100" xr:uid="{7361DFCD-9E98-42B6-8182-CDE129858FC5}">
      <formula1>"Presente,Pix,CashBack"</formula1>
    </dataValidation>
    <dataValidation type="list" allowBlank="1" showInputMessage="1" showErrorMessage="1" sqref="L4" xr:uid="{1A50E0BD-DCAE-462B-A5E1-C7BFE4D2BAD3}">
      <formula1>"MP,ITAÚ,INTER"</formula1>
    </dataValidation>
    <dataValidation type="list" allowBlank="1" showInputMessage="1" showErrorMessage="1" sqref="M10:M16" xr:uid="{08644A03-F4BF-4CFB-BBBA-95DD9D158B1A}">
      <formula1>"MP,ITAÚ"</formula1>
    </dataValidation>
    <dataValidation type="list" allowBlank="1" showInputMessage="1" sqref="K12" xr:uid="{895B76DC-C2E0-4E2C-BCAA-6B7284AE6AE8}">
      <formula1>"Passeio,Steam,"</formula1>
    </dataValidation>
  </dataValidations>
  <hyperlinks>
    <hyperlink ref="A1" location="MP!A1" display="MP" xr:uid="{4674A061-A547-45E6-BBE1-DA30FFCE5AA4}"/>
    <hyperlink ref="B1" location="ITAÚ!A1" display="ITAÚ" xr:uid="{02924758-4CAF-421E-BEFE-EA6F9B5C8E60}"/>
    <hyperlink ref="D1" location="SAÍDA!A1" display="SAÍDA" xr:uid="{99B19D8F-B7DE-451F-87FA-E68FA0EA8E7B}"/>
    <hyperlink ref="C1" location="ENTRADAS!A1" display="ENTRADAS" xr:uid="{0F731E07-FD29-4DD4-83EB-16DB80125516}"/>
    <hyperlink ref="M1" location="INÍCIO!A1" display="INÍCIO" xr:uid="{ED28268E-3147-4902-9590-104924114A8C}"/>
    <hyperlink ref="E1" location="INVESTIMENTO!A1" display="INVESTIMENTO" xr:uid="{3B01121E-9B40-45F7-9F0F-1F2343D5932B}"/>
    <hyperlink ref="G1" location="DEVO!A1" display="DEVO" xr:uid="{D77605F7-E33F-4203-8897-08E02AA1DE0D}"/>
    <hyperlink ref="F1" location="DEVEM!A1" display="DEVEM" xr:uid="{16321884-72B4-4BC7-A80B-E15EDC777066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00311-81DA-4E48-9CF9-ABC1DA414091}">
  <sheetPr codeName="Planilha6">
    <tabColor theme="6" tint="0.39997558519241921"/>
  </sheetPr>
  <dimension ref="A1:P474"/>
  <sheetViews>
    <sheetView zoomScaleNormal="100" workbookViewId="0">
      <pane ySplit="5" topLeftCell="A113" activePane="bottomLeft" state="frozen"/>
      <selection pane="bottomLeft" activeCell="A128" sqref="A128"/>
    </sheetView>
  </sheetViews>
  <sheetFormatPr defaultRowHeight="19.5" customHeight="1" x14ac:dyDescent="0.25"/>
  <cols>
    <col min="1" max="1" width="16.28515625" customWidth="1"/>
    <col min="2" max="2" width="13.7109375" customWidth="1"/>
    <col min="3" max="3" width="27" customWidth="1"/>
    <col min="4" max="4" width="15.5703125" customWidth="1"/>
    <col min="5" max="5" width="19" style="1" bestFit="1" customWidth="1"/>
    <col min="6" max="6" width="15.140625" customWidth="1"/>
    <col min="7" max="7" width="16.7109375" customWidth="1"/>
    <col min="8" max="8" width="14.85546875" customWidth="1"/>
    <col min="9" max="9" width="13.140625" customWidth="1"/>
    <col min="10" max="10" width="9.42578125" customWidth="1"/>
    <col min="11" max="11" width="12.140625" customWidth="1"/>
    <col min="12" max="12" width="17.5703125" customWidth="1"/>
  </cols>
  <sheetData>
    <row r="1" spans="1:16" s="4" customFormat="1" ht="19.5" customHeight="1" x14ac:dyDescent="0.25">
      <c r="A1" s="5" t="s">
        <v>58</v>
      </c>
      <c r="B1" s="6" t="s">
        <v>0</v>
      </c>
      <c r="C1" s="24" t="s">
        <v>4</v>
      </c>
      <c r="D1" s="25" t="s">
        <v>27</v>
      </c>
      <c r="E1" s="52" t="s">
        <v>32</v>
      </c>
      <c r="F1" s="43" t="s">
        <v>40</v>
      </c>
      <c r="G1" s="76" t="s">
        <v>39</v>
      </c>
      <c r="L1" s="31" t="s">
        <v>28</v>
      </c>
      <c r="P1" s="29"/>
    </row>
    <row r="2" spans="1:16" ht="19.5" customHeight="1" thickBot="1" x14ac:dyDescent="0.3"/>
    <row r="3" spans="1:16" ht="19.5" customHeight="1" thickTop="1" x14ac:dyDescent="0.25">
      <c r="A3" s="60" t="s">
        <v>2</v>
      </c>
      <c r="B3" s="58" t="s">
        <v>3</v>
      </c>
      <c r="C3" s="58" t="s">
        <v>38</v>
      </c>
      <c r="D3" s="58" t="s">
        <v>1</v>
      </c>
      <c r="E3" s="65" t="s">
        <v>37</v>
      </c>
    </row>
    <row r="4" spans="1:16" ht="54" customHeight="1" x14ac:dyDescent="0.25">
      <c r="A4" s="71"/>
      <c r="B4" s="83"/>
      <c r="C4" s="74" t="s">
        <v>58</v>
      </c>
      <c r="D4" s="72"/>
      <c r="E4" s="79" t="str">
        <f>IF(E470="","","AUMENTAR!")</f>
        <v/>
      </c>
      <c r="H4" s="1"/>
    </row>
    <row r="5" spans="1:16" ht="41.25" customHeight="1" thickBot="1" x14ac:dyDescent="0.3">
      <c r="A5" s="180"/>
      <c r="B5" s="181"/>
      <c r="C5" s="181"/>
      <c r="D5" s="182"/>
      <c r="E5" s="66"/>
    </row>
    <row r="6" spans="1:16" ht="25.5" customHeight="1" thickTop="1" x14ac:dyDescent="0.25">
      <c r="A6" s="64"/>
      <c r="B6" s="64"/>
      <c r="C6" s="64"/>
      <c r="D6" s="64"/>
    </row>
    <row r="7" spans="1:16" ht="33" customHeight="1" x14ac:dyDescent="0.5">
      <c r="A7" s="183" t="s">
        <v>239</v>
      </c>
      <c r="B7" s="184"/>
      <c r="C7" s="184"/>
      <c r="D7" s="184"/>
      <c r="E7" s="185"/>
    </row>
    <row r="8" spans="1:16" ht="19.5" customHeight="1" x14ac:dyDescent="0.25">
      <c r="A8" s="67" t="s">
        <v>2</v>
      </c>
      <c r="B8" s="68" t="s">
        <v>5</v>
      </c>
      <c r="C8" s="69" t="s">
        <v>3</v>
      </c>
      <c r="D8" s="69" t="s">
        <v>215</v>
      </c>
      <c r="E8" s="70" t="s">
        <v>1</v>
      </c>
    </row>
    <row r="9" spans="1:16" ht="19.5" customHeight="1" x14ac:dyDescent="0.25">
      <c r="A9" t="s">
        <v>7</v>
      </c>
      <c r="B9" t="s">
        <v>7</v>
      </c>
      <c r="C9" t="s">
        <v>8</v>
      </c>
      <c r="D9" s="1" t="s">
        <v>9</v>
      </c>
      <c r="E9" s="1" t="s">
        <v>9</v>
      </c>
      <c r="F9" s="9"/>
    </row>
    <row r="10" spans="1:16" ht="19.5" customHeight="1" x14ac:dyDescent="0.25">
      <c r="A10" s="9">
        <v>46023</v>
      </c>
      <c r="B10">
        <f>MONTH(TbSaida[[#This Row],[DATA]])</f>
        <v>1</v>
      </c>
      <c r="C10" t="s">
        <v>218</v>
      </c>
      <c r="D10" t="s">
        <v>58</v>
      </c>
      <c r="E10" s="1">
        <v>78.59</v>
      </c>
      <c r="F10" s="9"/>
    </row>
    <row r="11" spans="1:16" ht="19.5" customHeight="1" x14ac:dyDescent="0.25">
      <c r="A11" s="9">
        <v>46023</v>
      </c>
      <c r="B11">
        <f>MONTH(TbSaida[[#This Row],[DATA]])</f>
        <v>1</v>
      </c>
      <c r="C11" t="s">
        <v>219</v>
      </c>
      <c r="D11" t="s">
        <v>58</v>
      </c>
      <c r="E11" s="1">
        <v>10</v>
      </c>
      <c r="F11" s="9"/>
    </row>
    <row r="12" spans="1:16" ht="19.5" customHeight="1" x14ac:dyDescent="0.25">
      <c r="A12" s="9">
        <v>46023</v>
      </c>
      <c r="B12">
        <f>MONTH(TbSaida[[#This Row],[DATA]])</f>
        <v>1</v>
      </c>
      <c r="C12" t="s">
        <v>226</v>
      </c>
      <c r="D12" t="s">
        <v>58</v>
      </c>
      <c r="E12" s="1">
        <v>9.9</v>
      </c>
      <c r="F12" s="9"/>
    </row>
    <row r="13" spans="1:16" ht="19.5" customHeight="1" x14ac:dyDescent="0.25">
      <c r="A13" s="9">
        <v>46029</v>
      </c>
      <c r="B13">
        <f>MONTH(TbSaida[[#This Row],[DATA]])</f>
        <v>1</v>
      </c>
      <c r="C13" t="s">
        <v>219</v>
      </c>
      <c r="D13" t="s">
        <v>58</v>
      </c>
      <c r="E13" s="1">
        <v>30.39</v>
      </c>
      <c r="F13" s="9"/>
    </row>
    <row r="14" spans="1:16" ht="19.5" customHeight="1" x14ac:dyDescent="0.25">
      <c r="A14" s="9">
        <v>46031</v>
      </c>
      <c r="B14">
        <f>MONTH(TbSaida[[#This Row],[DATA]])</f>
        <v>1</v>
      </c>
      <c r="C14" t="s">
        <v>197</v>
      </c>
      <c r="D14" t="s">
        <v>58</v>
      </c>
      <c r="E14" s="1">
        <v>13.97</v>
      </c>
      <c r="F14" s="9"/>
    </row>
    <row r="15" spans="1:16" ht="19.5" customHeight="1" x14ac:dyDescent="0.25">
      <c r="A15" s="9">
        <v>46031</v>
      </c>
      <c r="B15">
        <f>MONTH(TbSaida[[#This Row],[DATA]])</f>
        <v>1</v>
      </c>
      <c r="C15" t="s">
        <v>241</v>
      </c>
      <c r="D15" t="s">
        <v>58</v>
      </c>
      <c r="E15" s="1">
        <v>191.6</v>
      </c>
      <c r="F15" s="9"/>
    </row>
    <row r="16" spans="1:16" ht="19.5" customHeight="1" x14ac:dyDescent="0.25">
      <c r="A16" s="9">
        <v>46031</v>
      </c>
      <c r="B16">
        <f>MONTH(TbSaida[[#This Row],[DATA]])</f>
        <v>1</v>
      </c>
      <c r="C16" t="s">
        <v>242</v>
      </c>
      <c r="D16" t="s">
        <v>58</v>
      </c>
      <c r="E16" s="1">
        <v>208.4</v>
      </c>
      <c r="F16" s="9"/>
    </row>
    <row r="17" spans="1:6" ht="19.5" customHeight="1" x14ac:dyDescent="0.25">
      <c r="A17" s="9">
        <v>46031</v>
      </c>
      <c r="B17">
        <f>MONTH(TbSaida[[#This Row],[DATA]])</f>
        <v>1</v>
      </c>
      <c r="C17" t="s">
        <v>90</v>
      </c>
      <c r="D17" t="s">
        <v>58</v>
      </c>
      <c r="E17" s="1">
        <v>86.05</v>
      </c>
      <c r="F17" s="9"/>
    </row>
    <row r="18" spans="1:6" ht="19.5" customHeight="1" x14ac:dyDescent="0.25">
      <c r="A18" s="9">
        <v>46031</v>
      </c>
      <c r="B18">
        <f>MONTH(TbSaida[[#This Row],[DATA]])</f>
        <v>1</v>
      </c>
      <c r="C18" t="s">
        <v>243</v>
      </c>
      <c r="D18" t="s">
        <v>58</v>
      </c>
      <c r="E18" s="1">
        <v>400</v>
      </c>
      <c r="F18" s="9"/>
    </row>
    <row r="19" spans="1:6" ht="19.5" customHeight="1" x14ac:dyDescent="0.25">
      <c r="A19" s="9">
        <v>46031</v>
      </c>
      <c r="B19">
        <f>MONTH(TbSaida[[#This Row],[DATA]])</f>
        <v>1</v>
      </c>
      <c r="C19" t="s">
        <v>244</v>
      </c>
      <c r="D19" t="s">
        <v>58</v>
      </c>
      <c r="E19" s="1">
        <v>50</v>
      </c>
      <c r="F19" s="9"/>
    </row>
    <row r="20" spans="1:6" ht="19.5" customHeight="1" x14ac:dyDescent="0.25">
      <c r="A20" s="9">
        <v>46031</v>
      </c>
      <c r="B20">
        <f>MONTH(TbSaida[[#This Row],[DATA]])</f>
        <v>1</v>
      </c>
      <c r="C20" t="s">
        <v>245</v>
      </c>
      <c r="D20" t="s">
        <v>58</v>
      </c>
      <c r="E20" s="1">
        <v>90</v>
      </c>
      <c r="F20" s="9"/>
    </row>
    <row r="21" spans="1:6" ht="19.5" customHeight="1" x14ac:dyDescent="0.25">
      <c r="A21" s="9">
        <v>46031</v>
      </c>
      <c r="B21">
        <f>MONTH(TbSaida[[#This Row],[DATA]])</f>
        <v>1</v>
      </c>
      <c r="C21" t="s">
        <v>246</v>
      </c>
      <c r="D21" t="s">
        <v>58</v>
      </c>
      <c r="E21" s="1">
        <v>85</v>
      </c>
      <c r="F21" s="9"/>
    </row>
    <row r="22" spans="1:6" ht="19.5" customHeight="1" x14ac:dyDescent="0.25">
      <c r="A22" s="9">
        <v>46031</v>
      </c>
      <c r="B22">
        <f>MONTH(TbSaida[[#This Row],[DATA]])</f>
        <v>1</v>
      </c>
      <c r="C22" t="s">
        <v>247</v>
      </c>
      <c r="D22" t="s">
        <v>58</v>
      </c>
      <c r="E22" s="1">
        <v>37.9</v>
      </c>
      <c r="F22" s="9"/>
    </row>
    <row r="23" spans="1:6" ht="19.5" customHeight="1" x14ac:dyDescent="0.25">
      <c r="A23" s="9">
        <v>46031</v>
      </c>
      <c r="B23">
        <f>MONTH(TbSaida[[#This Row],[DATA]])</f>
        <v>1</v>
      </c>
      <c r="C23" t="s">
        <v>248</v>
      </c>
      <c r="D23" t="s">
        <v>58</v>
      </c>
      <c r="E23" s="1">
        <v>142.5</v>
      </c>
      <c r="F23" s="9"/>
    </row>
    <row r="24" spans="1:6" ht="19.5" customHeight="1" x14ac:dyDescent="0.25">
      <c r="A24" s="9">
        <v>46031</v>
      </c>
      <c r="B24">
        <f>MONTH(TbSaida[[#This Row],[DATA]])</f>
        <v>1</v>
      </c>
      <c r="C24" t="s">
        <v>249</v>
      </c>
      <c r="D24" t="s">
        <v>58</v>
      </c>
      <c r="E24" s="1">
        <v>99.99</v>
      </c>
      <c r="F24" s="9"/>
    </row>
    <row r="25" spans="1:6" ht="19.5" customHeight="1" x14ac:dyDescent="0.25">
      <c r="A25" s="9">
        <v>46031</v>
      </c>
      <c r="B25">
        <f>MONTH(TbSaida[[#This Row],[DATA]])</f>
        <v>1</v>
      </c>
      <c r="C25" t="s">
        <v>250</v>
      </c>
      <c r="D25" t="s">
        <v>58</v>
      </c>
      <c r="E25" s="1">
        <v>20</v>
      </c>
      <c r="F25" s="9"/>
    </row>
    <row r="26" spans="1:6" ht="19.5" customHeight="1" x14ac:dyDescent="0.25">
      <c r="A26" s="9">
        <v>46031</v>
      </c>
      <c r="B26">
        <f>MONTH(TbSaida[[#This Row],[DATA]])</f>
        <v>1</v>
      </c>
      <c r="C26" t="s">
        <v>251</v>
      </c>
      <c r="D26" t="s">
        <v>58</v>
      </c>
      <c r="E26" s="1">
        <v>700</v>
      </c>
      <c r="F26" s="9"/>
    </row>
    <row r="27" spans="1:6" ht="19.5" customHeight="1" x14ac:dyDescent="0.25">
      <c r="A27" s="9">
        <v>46031</v>
      </c>
      <c r="B27">
        <f>MONTH(TbSaida[[#This Row],[DATA]])</f>
        <v>1</v>
      </c>
      <c r="C27" t="s">
        <v>252</v>
      </c>
      <c r="D27" t="s">
        <v>58</v>
      </c>
      <c r="E27" s="1">
        <v>250.3</v>
      </c>
      <c r="F27" s="9"/>
    </row>
    <row r="28" spans="1:6" ht="19.5" customHeight="1" x14ac:dyDescent="0.25">
      <c r="A28" s="9">
        <v>46031</v>
      </c>
      <c r="B28">
        <f>MONTH(TbSaida[[#This Row],[DATA]])</f>
        <v>1</v>
      </c>
      <c r="C28" t="s">
        <v>253</v>
      </c>
      <c r="D28" t="s">
        <v>58</v>
      </c>
      <c r="E28" s="1">
        <v>69.900000000000006</v>
      </c>
      <c r="F28" s="9"/>
    </row>
    <row r="29" spans="1:6" ht="19.5" customHeight="1" x14ac:dyDescent="0.25">
      <c r="A29" s="9">
        <v>46031</v>
      </c>
      <c r="B29">
        <f>MONTH(TbSaida[[#This Row],[DATA]])</f>
        <v>1</v>
      </c>
      <c r="C29" t="s">
        <v>261</v>
      </c>
      <c r="D29" t="s">
        <v>58</v>
      </c>
      <c r="E29" s="1">
        <v>47.94</v>
      </c>
      <c r="F29" s="9"/>
    </row>
    <row r="30" spans="1:6" ht="19.5" customHeight="1" x14ac:dyDescent="0.25">
      <c r="A30" s="9">
        <v>46031</v>
      </c>
      <c r="B30">
        <f>MONTH(TbSaida[[#This Row],[DATA]])</f>
        <v>1</v>
      </c>
      <c r="C30" t="s">
        <v>262</v>
      </c>
      <c r="D30" t="s">
        <v>58</v>
      </c>
      <c r="E30" s="1">
        <v>23</v>
      </c>
      <c r="F30" s="9"/>
    </row>
    <row r="31" spans="1:6" ht="19.5" customHeight="1" x14ac:dyDescent="0.25">
      <c r="A31" s="9">
        <v>46040</v>
      </c>
      <c r="B31">
        <f>MONTH(TbSaida[[#This Row],[DATA]])</f>
        <v>1</v>
      </c>
      <c r="C31" t="s">
        <v>263</v>
      </c>
      <c r="D31" t="s">
        <v>58</v>
      </c>
      <c r="E31" s="1">
        <v>30</v>
      </c>
      <c r="F31" s="9"/>
    </row>
    <row r="32" spans="1:6" ht="19.5" customHeight="1" x14ac:dyDescent="0.25">
      <c r="A32" s="9">
        <v>46040</v>
      </c>
      <c r="B32">
        <f>MONTH(TbSaida[[#This Row],[DATA]])</f>
        <v>1</v>
      </c>
      <c r="C32" t="s">
        <v>264</v>
      </c>
      <c r="D32" t="s">
        <v>58</v>
      </c>
      <c r="E32" s="1">
        <v>174.72</v>
      </c>
      <c r="F32" s="9"/>
    </row>
    <row r="33" spans="1:6" ht="19.5" customHeight="1" x14ac:dyDescent="0.25">
      <c r="A33" s="9">
        <v>46048</v>
      </c>
      <c r="B33">
        <f>MONTH(TbSaida[[#This Row],[DATA]])</f>
        <v>1</v>
      </c>
      <c r="C33" t="s">
        <v>232</v>
      </c>
      <c r="D33" t="s">
        <v>58</v>
      </c>
      <c r="E33" s="1">
        <v>121.84</v>
      </c>
      <c r="F33" s="9"/>
    </row>
    <row r="34" spans="1:6" ht="19.5" customHeight="1" x14ac:dyDescent="0.25">
      <c r="A34" s="9">
        <v>46043</v>
      </c>
      <c r="B34">
        <f>MONTH(TbSaida[[#This Row],[DATA]])</f>
        <v>1</v>
      </c>
      <c r="C34" t="s">
        <v>267</v>
      </c>
      <c r="D34" t="s">
        <v>58</v>
      </c>
      <c r="E34" s="1">
        <v>175</v>
      </c>
      <c r="F34" s="9"/>
    </row>
    <row r="35" spans="1:6" ht="19.5" customHeight="1" x14ac:dyDescent="0.25">
      <c r="A35" s="9">
        <v>46044</v>
      </c>
      <c r="B35">
        <f>MONTH(TbSaida[[#This Row],[DATA]])</f>
        <v>1</v>
      </c>
      <c r="C35" t="s">
        <v>268</v>
      </c>
      <c r="D35" t="s">
        <v>58</v>
      </c>
      <c r="E35" s="1">
        <v>40</v>
      </c>
      <c r="F35" s="9"/>
    </row>
    <row r="36" spans="1:6" ht="19.5" customHeight="1" x14ac:dyDescent="0.25">
      <c r="A36" s="9">
        <v>46050</v>
      </c>
      <c r="B36">
        <f>MONTH(TbSaida[[#This Row],[DATA]])</f>
        <v>1</v>
      </c>
      <c r="C36" t="s">
        <v>269</v>
      </c>
      <c r="D36" t="s">
        <v>58</v>
      </c>
      <c r="E36" s="1">
        <v>21.11</v>
      </c>
      <c r="F36" s="9"/>
    </row>
    <row r="37" spans="1:6" ht="19.5" customHeight="1" x14ac:dyDescent="0.25">
      <c r="A37" s="9">
        <v>46059</v>
      </c>
      <c r="B37">
        <f>MONTH(TbSaida[[#This Row],[DATA]])</f>
        <v>2</v>
      </c>
      <c r="C37" t="s">
        <v>297</v>
      </c>
      <c r="D37" t="s">
        <v>58</v>
      </c>
      <c r="E37" s="1">
        <v>411.05</v>
      </c>
      <c r="F37" s="9"/>
    </row>
    <row r="38" spans="1:6" ht="19.5" customHeight="1" x14ac:dyDescent="0.25">
      <c r="A38" s="9">
        <v>46059</v>
      </c>
      <c r="B38">
        <f>MONTH(TbSaida[[#This Row],[DATA]])</f>
        <v>2</v>
      </c>
      <c r="C38" t="s">
        <v>71</v>
      </c>
      <c r="D38" t="s">
        <v>58</v>
      </c>
      <c r="E38" s="1">
        <v>13.97</v>
      </c>
      <c r="F38" s="9"/>
    </row>
    <row r="39" spans="1:6" ht="19.5" customHeight="1" x14ac:dyDescent="0.25">
      <c r="A39" s="9">
        <v>46059</v>
      </c>
      <c r="B39">
        <f>MONTH(TbSaida[[#This Row],[DATA]])</f>
        <v>2</v>
      </c>
      <c r="C39" t="s">
        <v>242</v>
      </c>
      <c r="D39" t="s">
        <v>58</v>
      </c>
      <c r="E39" s="1">
        <v>208.4</v>
      </c>
      <c r="F39" s="9"/>
    </row>
    <row r="40" spans="1:6" ht="19.5" customHeight="1" x14ac:dyDescent="0.25">
      <c r="A40" s="9">
        <v>46059</v>
      </c>
      <c r="B40">
        <f>MONTH(TbSaida[[#This Row],[DATA]])</f>
        <v>2</v>
      </c>
      <c r="C40" t="s">
        <v>298</v>
      </c>
      <c r="D40" t="s">
        <v>58</v>
      </c>
      <c r="E40" s="1">
        <v>400</v>
      </c>
      <c r="F40" s="9"/>
    </row>
    <row r="41" spans="1:6" ht="19.5" customHeight="1" x14ac:dyDescent="0.25">
      <c r="A41" s="9">
        <v>46059</v>
      </c>
      <c r="B41">
        <f>MONTH(TbSaida[[#This Row],[DATA]])</f>
        <v>2</v>
      </c>
      <c r="C41" t="s">
        <v>126</v>
      </c>
      <c r="D41" t="s">
        <v>58</v>
      </c>
      <c r="E41" s="1">
        <v>90</v>
      </c>
      <c r="F41" s="9"/>
    </row>
    <row r="42" spans="1:6" ht="19.5" customHeight="1" x14ac:dyDescent="0.25">
      <c r="A42" s="9">
        <v>46059</v>
      </c>
      <c r="B42">
        <f>MONTH(TbSaida[[#This Row],[DATA]])</f>
        <v>2</v>
      </c>
      <c r="C42" t="s">
        <v>61</v>
      </c>
      <c r="D42" t="s">
        <v>58</v>
      </c>
      <c r="E42" s="1">
        <v>85</v>
      </c>
      <c r="F42" s="9"/>
    </row>
    <row r="43" spans="1:6" ht="19.5" customHeight="1" x14ac:dyDescent="0.25">
      <c r="A43" s="9">
        <v>46059</v>
      </c>
      <c r="B43">
        <f>MONTH(TbSaida[[#This Row],[DATA]])</f>
        <v>2</v>
      </c>
      <c r="C43" t="s">
        <v>299</v>
      </c>
      <c r="D43" t="s">
        <v>58</v>
      </c>
      <c r="E43" s="1">
        <v>37.9</v>
      </c>
      <c r="F43" s="9"/>
    </row>
    <row r="44" spans="1:6" ht="19.5" customHeight="1" x14ac:dyDescent="0.25">
      <c r="A44" s="9">
        <v>46059</v>
      </c>
      <c r="B44">
        <f>MONTH(TbSaida[[#This Row],[DATA]])</f>
        <v>2</v>
      </c>
      <c r="C44" t="s">
        <v>133</v>
      </c>
      <c r="D44" t="s">
        <v>58</v>
      </c>
      <c r="E44" s="1">
        <v>20</v>
      </c>
      <c r="F44" s="9"/>
    </row>
    <row r="45" spans="1:6" ht="19.5" customHeight="1" x14ac:dyDescent="0.25">
      <c r="A45" s="9">
        <v>46059</v>
      </c>
      <c r="B45">
        <f>MONTH(TbSaida[[#This Row],[DATA]])</f>
        <v>2</v>
      </c>
      <c r="C45" t="s">
        <v>300</v>
      </c>
      <c r="D45" t="s">
        <v>58</v>
      </c>
      <c r="E45" s="1">
        <v>350</v>
      </c>
      <c r="F45" s="9"/>
    </row>
    <row r="46" spans="1:6" ht="19.5" customHeight="1" x14ac:dyDescent="0.25">
      <c r="A46" s="9">
        <v>46059</v>
      </c>
      <c r="B46">
        <f>MONTH(TbSaida[[#This Row],[DATA]])</f>
        <v>2</v>
      </c>
      <c r="C46" t="s">
        <v>227</v>
      </c>
      <c r="D46" t="s">
        <v>58</v>
      </c>
      <c r="E46" s="1">
        <v>99.99</v>
      </c>
      <c r="F46" s="9"/>
    </row>
    <row r="47" spans="1:6" ht="19.5" customHeight="1" x14ac:dyDescent="0.25">
      <c r="A47" s="9">
        <v>46059</v>
      </c>
      <c r="B47">
        <f>MONTH(TbSaida[[#This Row],[DATA]])</f>
        <v>2</v>
      </c>
      <c r="C47" t="s">
        <v>301</v>
      </c>
      <c r="D47" t="s">
        <v>58</v>
      </c>
      <c r="E47" s="1">
        <v>226.01</v>
      </c>
      <c r="F47" s="9"/>
    </row>
    <row r="48" spans="1:6" ht="19.5" customHeight="1" x14ac:dyDescent="0.25">
      <c r="A48" s="9">
        <v>46059</v>
      </c>
      <c r="B48">
        <f>MONTH(TbSaida[[#This Row],[DATA]])</f>
        <v>2</v>
      </c>
      <c r="C48" t="s">
        <v>302</v>
      </c>
      <c r="D48" t="s">
        <v>58</v>
      </c>
      <c r="E48" s="1">
        <v>1367.21</v>
      </c>
      <c r="F48" s="9"/>
    </row>
    <row r="49" spans="1:6" ht="19.5" customHeight="1" x14ac:dyDescent="0.25">
      <c r="A49" s="9">
        <v>46060</v>
      </c>
      <c r="B49">
        <f>MONTH(TbSaida[[#This Row],[DATA]])</f>
        <v>2</v>
      </c>
      <c r="C49" t="s">
        <v>319</v>
      </c>
      <c r="D49" t="s">
        <v>58</v>
      </c>
      <c r="E49" s="1">
        <v>71.5</v>
      </c>
      <c r="F49" s="9"/>
    </row>
    <row r="50" spans="1:6" ht="19.5" customHeight="1" x14ac:dyDescent="0.25">
      <c r="A50" s="9">
        <v>46060</v>
      </c>
      <c r="B50">
        <f>MONTH(TbSaida[[#This Row],[DATA]])</f>
        <v>2</v>
      </c>
      <c r="C50" t="s">
        <v>320</v>
      </c>
      <c r="D50" t="s">
        <v>58</v>
      </c>
      <c r="E50" s="1">
        <v>7</v>
      </c>
      <c r="F50" s="9"/>
    </row>
    <row r="51" spans="1:6" ht="19.5" customHeight="1" x14ac:dyDescent="0.25">
      <c r="A51" s="9">
        <v>46061</v>
      </c>
      <c r="B51">
        <f>MONTH(TbSaida[[#This Row],[DATA]])</f>
        <v>2</v>
      </c>
      <c r="C51" t="s">
        <v>321</v>
      </c>
      <c r="D51" t="s">
        <v>58</v>
      </c>
      <c r="E51" s="1">
        <v>104</v>
      </c>
      <c r="F51" s="9"/>
    </row>
    <row r="52" spans="1:6" ht="19.5" customHeight="1" x14ac:dyDescent="0.25">
      <c r="A52" s="9">
        <v>46061</v>
      </c>
      <c r="B52">
        <f>MONTH(TbSaida[[#This Row],[DATA]])</f>
        <v>2</v>
      </c>
      <c r="C52" t="s">
        <v>322</v>
      </c>
      <c r="D52" t="s">
        <v>58</v>
      </c>
      <c r="E52" s="1">
        <v>20</v>
      </c>
      <c r="F52" s="9"/>
    </row>
    <row r="53" spans="1:6" ht="19.5" customHeight="1" x14ac:dyDescent="0.25">
      <c r="A53" s="9">
        <v>46061</v>
      </c>
      <c r="B53">
        <f>MONTH(TbSaida[[#This Row],[DATA]])</f>
        <v>2</v>
      </c>
      <c r="C53" t="s">
        <v>323</v>
      </c>
      <c r="D53" t="s">
        <v>58</v>
      </c>
      <c r="E53" s="1">
        <v>19</v>
      </c>
      <c r="F53" s="9"/>
    </row>
    <row r="54" spans="1:6" ht="19.5" customHeight="1" x14ac:dyDescent="0.25">
      <c r="A54" s="9">
        <v>46064</v>
      </c>
      <c r="B54">
        <f>MONTH(TbSaida[[#This Row],[DATA]])</f>
        <v>2</v>
      </c>
      <c r="C54" t="s">
        <v>331</v>
      </c>
      <c r="D54" t="s">
        <v>58</v>
      </c>
      <c r="E54" s="1">
        <v>81.05</v>
      </c>
      <c r="F54" s="9"/>
    </row>
    <row r="55" spans="1:6" ht="19.5" customHeight="1" x14ac:dyDescent="0.25">
      <c r="A55" s="9">
        <v>46064</v>
      </c>
      <c r="B55">
        <f>MONTH(TbSaida[[#This Row],[DATA]])</f>
        <v>2</v>
      </c>
      <c r="C55" t="s">
        <v>332</v>
      </c>
      <c r="D55" t="s">
        <v>58</v>
      </c>
      <c r="E55" s="1">
        <v>26.61</v>
      </c>
      <c r="F55" s="9"/>
    </row>
    <row r="56" spans="1:6" ht="19.5" customHeight="1" x14ac:dyDescent="0.25">
      <c r="A56" s="9">
        <v>46066</v>
      </c>
      <c r="B56">
        <f>MONTH(TbSaida[[#This Row],[DATA]])</f>
        <v>2</v>
      </c>
      <c r="C56" t="s">
        <v>346</v>
      </c>
      <c r="D56" t="s">
        <v>58</v>
      </c>
      <c r="E56" s="1">
        <v>12</v>
      </c>
      <c r="F56" s="9"/>
    </row>
    <row r="57" spans="1:6" ht="19.5" customHeight="1" x14ac:dyDescent="0.25">
      <c r="A57" s="9">
        <v>46068</v>
      </c>
      <c r="B57">
        <f>MONTH(TbSaida[[#This Row],[DATA]])</f>
        <v>2</v>
      </c>
      <c r="C57" t="s">
        <v>359</v>
      </c>
      <c r="D57" t="s">
        <v>58</v>
      </c>
      <c r="E57" s="1">
        <v>90</v>
      </c>
      <c r="F57" s="9"/>
    </row>
    <row r="58" spans="1:6" ht="19.5" customHeight="1" x14ac:dyDescent="0.25">
      <c r="A58" s="9">
        <v>46074</v>
      </c>
      <c r="B58">
        <f>MONTH(TbSaida[[#This Row],[DATA]])</f>
        <v>2</v>
      </c>
      <c r="C58" t="s">
        <v>370</v>
      </c>
      <c r="D58" t="s">
        <v>58</v>
      </c>
      <c r="E58" s="1">
        <v>116.3</v>
      </c>
      <c r="F58" s="9"/>
    </row>
    <row r="59" spans="1:6" ht="19.5" customHeight="1" x14ac:dyDescent="0.25">
      <c r="A59" s="9">
        <v>46074</v>
      </c>
      <c r="B59">
        <f>MONTH(TbSaida[[#This Row],[DATA]])</f>
        <v>2</v>
      </c>
      <c r="C59" t="s">
        <v>371</v>
      </c>
      <c r="D59" t="s">
        <v>58</v>
      </c>
      <c r="E59" s="1">
        <v>121.67</v>
      </c>
      <c r="F59" s="9"/>
    </row>
    <row r="60" spans="1:6" ht="19.5" customHeight="1" x14ac:dyDescent="0.25">
      <c r="A60" s="9">
        <v>46077</v>
      </c>
      <c r="B60">
        <f>MONTH(TbSaida[[#This Row],[DATA]])</f>
        <v>2</v>
      </c>
      <c r="C60" t="s">
        <v>379</v>
      </c>
      <c r="D60" t="s">
        <v>58</v>
      </c>
      <c r="E60" s="1">
        <v>10.7</v>
      </c>
      <c r="F60" s="9"/>
    </row>
    <row r="61" spans="1:6" ht="19.5" customHeight="1" x14ac:dyDescent="0.25">
      <c r="A61" s="9">
        <v>46079</v>
      </c>
      <c r="B61">
        <f>MONTH(TbSaida[[#This Row],[DATA]])</f>
        <v>2</v>
      </c>
      <c r="C61" t="s">
        <v>380</v>
      </c>
      <c r="D61" t="s">
        <v>58</v>
      </c>
      <c r="E61" s="1">
        <v>10.1</v>
      </c>
      <c r="F61" s="9"/>
    </row>
    <row r="62" spans="1:6" ht="19.5" customHeight="1" x14ac:dyDescent="0.25">
      <c r="A62" s="9">
        <v>46081</v>
      </c>
      <c r="B62">
        <f>MONTH(TbSaida[[#This Row],[DATA]])</f>
        <v>2</v>
      </c>
      <c r="C62" t="s">
        <v>381</v>
      </c>
      <c r="D62" t="s">
        <v>58</v>
      </c>
      <c r="E62" s="1">
        <v>1</v>
      </c>
      <c r="F62" s="9"/>
    </row>
    <row r="63" spans="1:6" ht="19.5" customHeight="1" x14ac:dyDescent="0.25">
      <c r="A63" s="9">
        <v>46081</v>
      </c>
      <c r="B63">
        <f>MONTH(TbSaida[[#This Row],[DATA]])</f>
        <v>2</v>
      </c>
      <c r="C63" t="s">
        <v>382</v>
      </c>
      <c r="D63" t="s">
        <v>58</v>
      </c>
      <c r="E63" s="1">
        <v>4</v>
      </c>
      <c r="F63" s="9"/>
    </row>
    <row r="64" spans="1:6" ht="19.5" customHeight="1" x14ac:dyDescent="0.25">
      <c r="A64" s="9">
        <v>46080</v>
      </c>
      <c r="B64">
        <f>MONTH(TbSaida[[#This Row],[DATA]])</f>
        <v>2</v>
      </c>
      <c r="C64" t="s">
        <v>383</v>
      </c>
      <c r="D64" t="s">
        <v>58</v>
      </c>
      <c r="E64" s="1">
        <v>6</v>
      </c>
      <c r="F64" s="9"/>
    </row>
    <row r="65" spans="1:6" ht="19.5" customHeight="1" x14ac:dyDescent="0.25">
      <c r="A65" s="9">
        <v>46080</v>
      </c>
      <c r="B65">
        <f>MONTH(TbSaida[[#This Row],[DATA]])</f>
        <v>2</v>
      </c>
      <c r="C65" t="s">
        <v>384</v>
      </c>
      <c r="D65" t="s">
        <v>58</v>
      </c>
      <c r="E65" s="1">
        <v>2.35</v>
      </c>
      <c r="F65" s="9"/>
    </row>
    <row r="66" spans="1:6" ht="19.5" customHeight="1" x14ac:dyDescent="0.25">
      <c r="A66" s="9">
        <v>46081</v>
      </c>
      <c r="B66">
        <f>MONTH(TbSaida[[#This Row],[DATA]])</f>
        <v>2</v>
      </c>
      <c r="C66" t="s">
        <v>298</v>
      </c>
      <c r="D66" t="s">
        <v>58</v>
      </c>
      <c r="E66" s="1">
        <v>0.84</v>
      </c>
      <c r="F66" s="9"/>
    </row>
    <row r="67" spans="1:6" ht="19.5" customHeight="1" x14ac:dyDescent="0.25">
      <c r="A67" s="9">
        <v>46087</v>
      </c>
      <c r="B67">
        <f>MONTH(TbSaida[[#This Row],[DATA]])</f>
        <v>3</v>
      </c>
      <c r="C67" t="s">
        <v>386</v>
      </c>
      <c r="D67" t="s">
        <v>58</v>
      </c>
      <c r="E67" s="1">
        <v>13.97</v>
      </c>
      <c r="F67" s="9"/>
    </row>
    <row r="68" spans="1:6" ht="19.5" customHeight="1" x14ac:dyDescent="0.25">
      <c r="A68" s="9">
        <v>46087</v>
      </c>
      <c r="B68">
        <f>MONTH(TbSaida[[#This Row],[DATA]])</f>
        <v>3</v>
      </c>
      <c r="C68" t="s">
        <v>387</v>
      </c>
      <c r="D68" t="s">
        <v>58</v>
      </c>
      <c r="E68" s="1">
        <v>200</v>
      </c>
      <c r="F68" s="9"/>
    </row>
    <row r="69" spans="1:6" ht="19.5" customHeight="1" x14ac:dyDescent="0.25">
      <c r="A69" s="9">
        <v>46087</v>
      </c>
      <c r="B69">
        <f>MONTH(TbSaida[[#This Row],[DATA]])</f>
        <v>3</v>
      </c>
      <c r="C69" t="s">
        <v>388</v>
      </c>
      <c r="D69" t="s">
        <v>58</v>
      </c>
      <c r="E69" s="1">
        <v>550</v>
      </c>
      <c r="F69" s="9"/>
    </row>
    <row r="70" spans="1:6" ht="19.5" customHeight="1" x14ac:dyDescent="0.25">
      <c r="A70" s="9">
        <v>46087</v>
      </c>
      <c r="B70">
        <f>MONTH(TbSaida[[#This Row],[DATA]])</f>
        <v>3</v>
      </c>
      <c r="C70" t="s">
        <v>389</v>
      </c>
      <c r="D70" t="s">
        <v>58</v>
      </c>
      <c r="E70" s="1">
        <v>90</v>
      </c>
      <c r="F70" s="9"/>
    </row>
    <row r="71" spans="1:6" ht="19.5" customHeight="1" x14ac:dyDescent="0.25">
      <c r="A71" s="9">
        <v>46087</v>
      </c>
      <c r="B71">
        <f>MONTH(TbSaida[[#This Row],[DATA]])</f>
        <v>3</v>
      </c>
      <c r="C71" t="s">
        <v>390</v>
      </c>
      <c r="D71" t="s">
        <v>58</v>
      </c>
      <c r="E71" s="1">
        <v>85</v>
      </c>
      <c r="F71" s="9"/>
    </row>
    <row r="72" spans="1:6" ht="19.5" customHeight="1" x14ac:dyDescent="0.25">
      <c r="A72" s="9">
        <v>46087</v>
      </c>
      <c r="B72">
        <f>MONTH(TbSaida[[#This Row],[DATA]])</f>
        <v>3</v>
      </c>
      <c r="C72" t="s">
        <v>247</v>
      </c>
      <c r="D72" t="s">
        <v>58</v>
      </c>
      <c r="E72" s="1">
        <v>37.9</v>
      </c>
      <c r="F72" s="9"/>
    </row>
    <row r="73" spans="1:6" ht="19.5" customHeight="1" x14ac:dyDescent="0.25">
      <c r="A73" s="9">
        <v>46087</v>
      </c>
      <c r="B73">
        <f>MONTH(TbSaida[[#This Row],[DATA]])</f>
        <v>3</v>
      </c>
      <c r="C73" t="s">
        <v>391</v>
      </c>
      <c r="D73" t="s">
        <v>58</v>
      </c>
      <c r="E73" s="1">
        <v>92.55</v>
      </c>
      <c r="F73" s="9"/>
    </row>
    <row r="74" spans="1:6" ht="19.5" customHeight="1" x14ac:dyDescent="0.25">
      <c r="A74" s="9">
        <v>46087</v>
      </c>
      <c r="B74">
        <f>MONTH(TbSaida[[#This Row],[DATA]])</f>
        <v>3</v>
      </c>
      <c r="C74" t="s">
        <v>297</v>
      </c>
      <c r="D74" t="s">
        <v>58</v>
      </c>
      <c r="E74" s="1">
        <v>380.05</v>
      </c>
      <c r="F74" s="9"/>
    </row>
    <row r="75" spans="1:6" ht="19.5" customHeight="1" x14ac:dyDescent="0.25">
      <c r="A75" s="9">
        <v>46087</v>
      </c>
      <c r="B75">
        <f>MONTH(TbSaida[[#This Row],[DATA]])</f>
        <v>3</v>
      </c>
      <c r="C75" t="s">
        <v>300</v>
      </c>
      <c r="D75" t="s">
        <v>58</v>
      </c>
      <c r="E75" s="1">
        <v>700</v>
      </c>
      <c r="F75" s="9"/>
    </row>
    <row r="76" spans="1:6" ht="19.5" customHeight="1" x14ac:dyDescent="0.25">
      <c r="A76" s="9">
        <v>46087</v>
      </c>
      <c r="B76">
        <f>MONTH(TbSaida[[#This Row],[DATA]])</f>
        <v>3</v>
      </c>
      <c r="C76" t="s">
        <v>394</v>
      </c>
      <c r="D76" t="s">
        <v>58</v>
      </c>
      <c r="E76" s="1">
        <v>1000</v>
      </c>
      <c r="F76" s="9"/>
    </row>
    <row r="77" spans="1:6" ht="19.5" customHeight="1" x14ac:dyDescent="0.25">
      <c r="A77" s="9">
        <v>46087</v>
      </c>
      <c r="B77">
        <f>MONTH(TbSaida[[#This Row],[DATA]])</f>
        <v>3</v>
      </c>
      <c r="C77" t="s">
        <v>395</v>
      </c>
      <c r="D77" t="s">
        <v>58</v>
      </c>
      <c r="E77" s="1">
        <v>50</v>
      </c>
      <c r="F77" s="9"/>
    </row>
    <row r="78" spans="1:6" ht="19.5" customHeight="1" x14ac:dyDescent="0.25">
      <c r="A78" s="9">
        <v>46087</v>
      </c>
      <c r="B78">
        <f>MONTH(TbSaida[[#This Row],[DATA]])</f>
        <v>3</v>
      </c>
      <c r="C78" t="s">
        <v>396</v>
      </c>
      <c r="D78" t="s">
        <v>58</v>
      </c>
      <c r="E78" s="1">
        <v>85.88</v>
      </c>
      <c r="F78" s="9"/>
    </row>
    <row r="79" spans="1:6" ht="19.5" customHeight="1" x14ac:dyDescent="0.25">
      <c r="A79" s="9">
        <v>46087</v>
      </c>
      <c r="B79">
        <f>MONTH(TbSaida[[#This Row],[DATA]])</f>
        <v>3</v>
      </c>
      <c r="C79" t="s">
        <v>397</v>
      </c>
      <c r="D79" t="s">
        <v>58</v>
      </c>
      <c r="E79" s="1">
        <v>90</v>
      </c>
      <c r="F79" s="9"/>
    </row>
    <row r="80" spans="1:6" ht="19.5" customHeight="1" x14ac:dyDescent="0.25">
      <c r="A80" s="9">
        <v>46089</v>
      </c>
      <c r="B80">
        <f>MONTH(TbSaida[[#This Row],[DATA]])</f>
        <v>3</v>
      </c>
      <c r="C80" t="s">
        <v>219</v>
      </c>
      <c r="D80" t="s">
        <v>58</v>
      </c>
      <c r="E80" s="1">
        <v>10</v>
      </c>
      <c r="F80" s="9"/>
    </row>
    <row r="81" spans="1:6" ht="19.5" customHeight="1" x14ac:dyDescent="0.25">
      <c r="A81" s="9">
        <v>46089</v>
      </c>
      <c r="B81">
        <f>MONTH(TbSaida[[#This Row],[DATA]])</f>
        <v>3</v>
      </c>
      <c r="C81" t="s">
        <v>399</v>
      </c>
      <c r="D81" t="s">
        <v>58</v>
      </c>
      <c r="E81" s="1">
        <v>9.99</v>
      </c>
      <c r="F81" s="9"/>
    </row>
    <row r="82" spans="1:6" ht="19.5" customHeight="1" x14ac:dyDescent="0.25">
      <c r="A82" s="9">
        <v>46085</v>
      </c>
      <c r="B82">
        <f>MONTH(TbSaida[[#This Row],[DATA]])</f>
        <v>3</v>
      </c>
      <c r="C82" t="s">
        <v>323</v>
      </c>
      <c r="D82" t="s">
        <v>58</v>
      </c>
      <c r="E82" s="1">
        <v>5.0999999999999996</v>
      </c>
      <c r="F82" s="9"/>
    </row>
    <row r="83" spans="1:6" ht="19.5" customHeight="1" x14ac:dyDescent="0.25">
      <c r="A83" s="9">
        <v>46092</v>
      </c>
      <c r="B83">
        <f>MONTH(TbSaida[[#This Row],[DATA]])</f>
        <v>3</v>
      </c>
      <c r="C83" t="s">
        <v>400</v>
      </c>
      <c r="D83" t="s">
        <v>58</v>
      </c>
      <c r="E83" s="1">
        <v>19.97</v>
      </c>
      <c r="F83" s="9"/>
    </row>
    <row r="84" spans="1:6" ht="19.5" customHeight="1" x14ac:dyDescent="0.25">
      <c r="A84" s="9">
        <v>46093</v>
      </c>
      <c r="B84">
        <f>MONTH(TbSaida[[#This Row],[DATA]])</f>
        <v>3</v>
      </c>
      <c r="C84" t="s">
        <v>219</v>
      </c>
      <c r="D84" t="s">
        <v>58</v>
      </c>
      <c r="E84" s="1">
        <v>15</v>
      </c>
      <c r="F84" s="9"/>
    </row>
    <row r="85" spans="1:6" ht="19.5" customHeight="1" x14ac:dyDescent="0.25">
      <c r="A85" s="9">
        <v>46093</v>
      </c>
      <c r="B85">
        <f>MONTH(TbSaida[[#This Row],[DATA]])</f>
        <v>3</v>
      </c>
      <c r="C85" t="s">
        <v>370</v>
      </c>
      <c r="D85" t="s">
        <v>58</v>
      </c>
      <c r="E85" s="1">
        <v>31.9</v>
      </c>
      <c r="F85" s="9"/>
    </row>
    <row r="86" spans="1:6" ht="19.5" customHeight="1" x14ac:dyDescent="0.25">
      <c r="A86" s="9">
        <v>46095</v>
      </c>
      <c r="B86">
        <f>MONTH(TbSaida[[#This Row],[DATA]])</f>
        <v>3</v>
      </c>
      <c r="C86" t="s">
        <v>263</v>
      </c>
      <c r="D86" t="s">
        <v>58</v>
      </c>
      <c r="E86" s="1">
        <v>22</v>
      </c>
      <c r="F86" s="9"/>
    </row>
    <row r="87" spans="1:6" ht="19.5" customHeight="1" x14ac:dyDescent="0.25">
      <c r="A87" s="9">
        <v>46098</v>
      </c>
      <c r="B87">
        <f>MONTH(TbSaida[[#This Row],[DATA]])</f>
        <v>3</v>
      </c>
      <c r="C87" t="s">
        <v>323</v>
      </c>
      <c r="D87" t="s">
        <v>58</v>
      </c>
      <c r="E87" s="1">
        <v>8.1999999999999993</v>
      </c>
      <c r="F87" s="9"/>
    </row>
    <row r="88" spans="1:6" ht="19.5" customHeight="1" x14ac:dyDescent="0.25">
      <c r="A88" s="9">
        <v>46101</v>
      </c>
      <c r="B88">
        <f>MONTH(TbSaida[[#This Row],[DATA]])</f>
        <v>3</v>
      </c>
      <c r="C88" t="s">
        <v>323</v>
      </c>
      <c r="D88" t="s">
        <v>58</v>
      </c>
      <c r="E88" s="1">
        <v>5.0999999999999996</v>
      </c>
      <c r="F88" s="9"/>
    </row>
    <row r="89" spans="1:6" ht="19.5" customHeight="1" x14ac:dyDescent="0.25">
      <c r="A89" s="9">
        <v>46102</v>
      </c>
      <c r="B89">
        <f>MONTH(TbSaida[[#This Row],[DATA]])</f>
        <v>3</v>
      </c>
      <c r="C89" t="s">
        <v>402</v>
      </c>
      <c r="D89" t="s">
        <v>58</v>
      </c>
      <c r="E89" s="1">
        <v>112.29</v>
      </c>
      <c r="F89" s="9"/>
    </row>
    <row r="90" spans="1:6" ht="19.5" customHeight="1" x14ac:dyDescent="0.25">
      <c r="A90" s="9">
        <v>46102</v>
      </c>
      <c r="B90">
        <f>MONTH(TbSaida[[#This Row],[DATA]])</f>
        <v>3</v>
      </c>
      <c r="C90" t="s">
        <v>403</v>
      </c>
      <c r="D90" t="s">
        <v>58</v>
      </c>
      <c r="E90" s="1">
        <v>31.99</v>
      </c>
      <c r="F90" s="9"/>
    </row>
    <row r="91" spans="1:6" ht="19.5" customHeight="1" x14ac:dyDescent="0.25">
      <c r="A91" s="9">
        <v>46102</v>
      </c>
      <c r="B91">
        <f>MONTH(TbSaida[[#This Row],[DATA]])</f>
        <v>3</v>
      </c>
      <c r="C91" t="s">
        <v>404</v>
      </c>
      <c r="D91" t="s">
        <v>58</v>
      </c>
      <c r="E91" s="1">
        <v>15</v>
      </c>
      <c r="F91" s="9"/>
    </row>
    <row r="92" spans="1:6" ht="19.5" customHeight="1" x14ac:dyDescent="0.25">
      <c r="A92" s="9">
        <v>46107</v>
      </c>
      <c r="B92">
        <f>MONTH(TbSaida[[#This Row],[DATA]])</f>
        <v>3</v>
      </c>
      <c r="C92" t="s">
        <v>405</v>
      </c>
      <c r="D92" t="s">
        <v>58</v>
      </c>
      <c r="E92" s="1">
        <v>20</v>
      </c>
      <c r="F92" s="9"/>
    </row>
    <row r="93" spans="1:6" ht="19.5" customHeight="1" x14ac:dyDescent="0.25">
      <c r="A93" s="9">
        <v>46106</v>
      </c>
      <c r="B93">
        <f>MONTH(TbSaida[[#This Row],[DATA]])</f>
        <v>3</v>
      </c>
      <c r="C93" t="s">
        <v>323</v>
      </c>
      <c r="D93" t="s">
        <v>58</v>
      </c>
      <c r="E93" s="1">
        <v>9.9</v>
      </c>
      <c r="F93" s="9"/>
    </row>
    <row r="94" spans="1:6" ht="19.5" customHeight="1" x14ac:dyDescent="0.25">
      <c r="A94" s="9">
        <v>46106</v>
      </c>
      <c r="B94">
        <f>MONTH(TbSaida[[#This Row],[DATA]])</f>
        <v>3</v>
      </c>
      <c r="C94" t="s">
        <v>406</v>
      </c>
      <c r="D94" t="s">
        <v>58</v>
      </c>
      <c r="E94" s="1">
        <v>2.97</v>
      </c>
      <c r="F94" s="9"/>
    </row>
    <row r="95" spans="1:6" ht="19.5" customHeight="1" x14ac:dyDescent="0.25">
      <c r="A95" s="9">
        <v>46109</v>
      </c>
      <c r="B95">
        <f>MONTH(TbSaida[[#This Row],[DATA]])</f>
        <v>3</v>
      </c>
      <c r="C95" t="s">
        <v>407</v>
      </c>
      <c r="D95" t="s">
        <v>58</v>
      </c>
      <c r="E95" s="1">
        <v>147.91</v>
      </c>
      <c r="F95" s="9"/>
    </row>
    <row r="96" spans="1:6" ht="19.5" customHeight="1" x14ac:dyDescent="0.25">
      <c r="A96" s="9">
        <v>46116</v>
      </c>
      <c r="B96">
        <f>MONTH(TbSaida[[#This Row],[DATA]])</f>
        <v>4</v>
      </c>
      <c r="C96" t="s">
        <v>219</v>
      </c>
      <c r="D96" t="s">
        <v>58</v>
      </c>
      <c r="E96" s="1">
        <v>106.06</v>
      </c>
      <c r="F96" s="9"/>
    </row>
    <row r="97" spans="1:6" ht="19.5" customHeight="1" x14ac:dyDescent="0.25">
      <c r="A97" s="9">
        <v>46117</v>
      </c>
      <c r="B97">
        <f>MONTH(TbSaida[[#This Row],[DATA]])</f>
        <v>4</v>
      </c>
      <c r="C97" t="s">
        <v>408</v>
      </c>
      <c r="D97" t="s">
        <v>58</v>
      </c>
      <c r="E97" s="1">
        <v>40</v>
      </c>
      <c r="F97" s="9"/>
    </row>
    <row r="98" spans="1:6" ht="19.5" customHeight="1" x14ac:dyDescent="0.25">
      <c r="A98" s="9">
        <v>46120</v>
      </c>
      <c r="B98">
        <f>MONTH(TbSaida[[#This Row],[DATA]])</f>
        <v>4</v>
      </c>
      <c r="C98" t="s">
        <v>411</v>
      </c>
      <c r="D98" t="s">
        <v>58</v>
      </c>
      <c r="E98" s="1">
        <v>342.11</v>
      </c>
      <c r="F98" s="9"/>
    </row>
    <row r="99" spans="1:6" ht="19.5" customHeight="1" x14ac:dyDescent="0.25">
      <c r="A99" s="9">
        <v>46120</v>
      </c>
      <c r="B99">
        <f>MONTH(TbSaida[[#This Row],[DATA]])</f>
        <v>4</v>
      </c>
      <c r="C99" t="s">
        <v>71</v>
      </c>
      <c r="D99" t="s">
        <v>58</v>
      </c>
      <c r="E99" s="1">
        <v>13.97</v>
      </c>
      <c r="F99" s="9"/>
    </row>
    <row r="100" spans="1:6" ht="19.5" customHeight="1" x14ac:dyDescent="0.25">
      <c r="A100" s="9">
        <v>46120</v>
      </c>
      <c r="B100">
        <f>MONTH(TbSaida[[#This Row],[DATA]])</f>
        <v>4</v>
      </c>
      <c r="C100" t="s">
        <v>387</v>
      </c>
      <c r="D100" t="s">
        <v>58</v>
      </c>
      <c r="E100" s="1">
        <v>264.19</v>
      </c>
      <c r="F100" s="9"/>
    </row>
    <row r="101" spans="1:6" ht="19.5" customHeight="1" x14ac:dyDescent="0.25">
      <c r="A101" s="9">
        <v>46120</v>
      </c>
      <c r="B101">
        <f>MONTH(TbSaida[[#This Row],[DATA]])</f>
        <v>4</v>
      </c>
      <c r="C101" t="s">
        <v>388</v>
      </c>
      <c r="D101" t="s">
        <v>58</v>
      </c>
      <c r="E101" s="1">
        <v>400</v>
      </c>
      <c r="F101" s="9"/>
    </row>
    <row r="102" spans="1:6" ht="19.5" customHeight="1" x14ac:dyDescent="0.25">
      <c r="A102" s="9">
        <v>46120</v>
      </c>
      <c r="B102">
        <f>MONTH(TbSaida[[#This Row],[DATA]])</f>
        <v>4</v>
      </c>
      <c r="C102" t="s">
        <v>126</v>
      </c>
      <c r="D102" t="s">
        <v>58</v>
      </c>
      <c r="E102" s="1">
        <v>90</v>
      </c>
      <c r="F102" s="9"/>
    </row>
    <row r="103" spans="1:6" ht="19.5" customHeight="1" x14ac:dyDescent="0.25">
      <c r="A103" s="9">
        <v>46120</v>
      </c>
      <c r="B103">
        <f>MONTH(TbSaida[[#This Row],[DATA]])</f>
        <v>4</v>
      </c>
      <c r="C103" t="s">
        <v>390</v>
      </c>
      <c r="D103" t="s">
        <v>58</v>
      </c>
      <c r="E103" s="1">
        <v>85</v>
      </c>
    </row>
    <row r="104" spans="1:6" ht="19.5" customHeight="1" x14ac:dyDescent="0.25">
      <c r="A104" s="9">
        <v>46120</v>
      </c>
      <c r="B104">
        <f>MONTH(TbSaida[[#This Row],[DATA]])</f>
        <v>4</v>
      </c>
      <c r="C104" t="s">
        <v>247</v>
      </c>
      <c r="D104" t="s">
        <v>58</v>
      </c>
      <c r="E104" s="1">
        <v>37.9</v>
      </c>
    </row>
    <row r="105" spans="1:6" ht="19.5" customHeight="1" x14ac:dyDescent="0.25">
      <c r="A105" s="9">
        <v>46120</v>
      </c>
      <c r="B105">
        <f>MONTH(TbSaida[[#This Row],[DATA]])</f>
        <v>4</v>
      </c>
      <c r="C105" t="s">
        <v>300</v>
      </c>
      <c r="D105" t="s">
        <v>58</v>
      </c>
      <c r="E105" s="1">
        <v>956.42</v>
      </c>
    </row>
    <row r="106" spans="1:6" ht="19.5" customHeight="1" x14ac:dyDescent="0.25">
      <c r="A106" s="9">
        <v>46120</v>
      </c>
      <c r="B106">
        <f>MONTH(TbSaida[[#This Row],[DATA]])</f>
        <v>4</v>
      </c>
      <c r="C106" t="s">
        <v>412</v>
      </c>
      <c r="D106" t="s">
        <v>58</v>
      </c>
      <c r="E106" s="1">
        <v>11.8</v>
      </c>
    </row>
    <row r="107" spans="1:6" ht="19.5" customHeight="1" x14ac:dyDescent="0.25">
      <c r="A107" s="9">
        <v>46120</v>
      </c>
      <c r="B107">
        <f>MONTH(TbSaida[[#This Row],[DATA]])</f>
        <v>4</v>
      </c>
      <c r="C107" t="s">
        <v>394</v>
      </c>
      <c r="D107" t="s">
        <v>58</v>
      </c>
      <c r="E107" s="1">
        <v>1000</v>
      </c>
    </row>
    <row r="108" spans="1:6" ht="19.5" customHeight="1" x14ac:dyDescent="0.25">
      <c r="A108" s="9">
        <v>46120</v>
      </c>
      <c r="B108">
        <f>MONTH(TbSaida[[#This Row],[DATA]])</f>
        <v>4</v>
      </c>
      <c r="C108" t="s">
        <v>413</v>
      </c>
      <c r="D108" t="s">
        <v>58</v>
      </c>
      <c r="E108" s="1">
        <v>20</v>
      </c>
    </row>
    <row r="109" spans="1:6" ht="19.5" customHeight="1" x14ac:dyDescent="0.25">
      <c r="A109" s="9">
        <v>46120</v>
      </c>
      <c r="B109">
        <f>MONTH(TbSaida[[#This Row],[DATA]])</f>
        <v>4</v>
      </c>
      <c r="C109" t="s">
        <v>302</v>
      </c>
      <c r="D109" t="s">
        <v>58</v>
      </c>
      <c r="E109" s="1">
        <v>256.41000000000003</v>
      </c>
    </row>
    <row r="110" spans="1:6" ht="19.5" customHeight="1" x14ac:dyDescent="0.25">
      <c r="A110" s="9">
        <v>46123</v>
      </c>
      <c r="B110">
        <f>MONTH(TbSaida[[#This Row],[DATA]])</f>
        <v>4</v>
      </c>
      <c r="C110" t="s">
        <v>414</v>
      </c>
      <c r="D110" t="s">
        <v>58</v>
      </c>
      <c r="E110" s="1">
        <v>68.72</v>
      </c>
    </row>
    <row r="111" spans="1:6" ht="19.5" customHeight="1" x14ac:dyDescent="0.25">
      <c r="A111" s="9">
        <v>46123</v>
      </c>
      <c r="B111">
        <f>MONTH(TbSaida[[#This Row],[DATA]])</f>
        <v>4</v>
      </c>
      <c r="C111" t="s">
        <v>415</v>
      </c>
      <c r="D111" t="s">
        <v>58</v>
      </c>
      <c r="E111" s="1">
        <v>25</v>
      </c>
    </row>
    <row r="112" spans="1:6" ht="19.5" customHeight="1" x14ac:dyDescent="0.25">
      <c r="A112" s="9">
        <v>46128</v>
      </c>
      <c r="B112">
        <f>MONTH(TbSaida[[#This Row],[DATA]])</f>
        <v>4</v>
      </c>
      <c r="C112" t="s">
        <v>323</v>
      </c>
      <c r="D112" t="s">
        <v>58</v>
      </c>
      <c r="E112" s="1">
        <v>6.9</v>
      </c>
    </row>
    <row r="113" spans="1:5" ht="19.5" customHeight="1" x14ac:dyDescent="0.25">
      <c r="A113" s="9">
        <v>46129</v>
      </c>
      <c r="B113">
        <f>MONTH(TbSaida[[#This Row],[DATA]])</f>
        <v>4</v>
      </c>
      <c r="C113" t="s">
        <v>418</v>
      </c>
      <c r="D113" t="s">
        <v>58</v>
      </c>
      <c r="E113" s="1">
        <v>9.8000000000000007</v>
      </c>
    </row>
    <row r="114" spans="1:5" ht="19.5" customHeight="1" x14ac:dyDescent="0.25">
      <c r="A114" s="9">
        <v>46130</v>
      </c>
      <c r="B114">
        <f>MONTH(TbSaida[[#This Row],[DATA]])</f>
        <v>4</v>
      </c>
      <c r="C114" t="s">
        <v>419</v>
      </c>
      <c r="D114" t="s">
        <v>58</v>
      </c>
      <c r="E114" s="1">
        <v>20.9</v>
      </c>
    </row>
    <row r="115" spans="1:5" ht="19.5" customHeight="1" x14ac:dyDescent="0.25">
      <c r="A115" s="9">
        <v>46253</v>
      </c>
      <c r="B115">
        <f>MONTH(TbSaida[[#This Row],[DATA]])</f>
        <v>8</v>
      </c>
      <c r="C115" t="s">
        <v>219</v>
      </c>
      <c r="D115" t="s">
        <v>58</v>
      </c>
      <c r="E115" s="1">
        <v>60</v>
      </c>
    </row>
    <row r="116" spans="1:5" ht="19.5" customHeight="1" x14ac:dyDescent="0.25">
      <c r="A116" s="9">
        <v>46253</v>
      </c>
      <c r="B116">
        <f>MONTH(TbSaida[[#This Row],[DATA]])</f>
        <v>8</v>
      </c>
      <c r="C116" t="s">
        <v>419</v>
      </c>
      <c r="D116" t="s">
        <v>58</v>
      </c>
      <c r="E116" s="1">
        <v>76.8</v>
      </c>
    </row>
    <row r="117" spans="1:5" ht="19.5" customHeight="1" x14ac:dyDescent="0.25">
      <c r="A117" s="9">
        <v>46135</v>
      </c>
      <c r="B117">
        <f>MONTH(TbSaida[[#This Row],[DATA]])</f>
        <v>4</v>
      </c>
      <c r="C117" t="s">
        <v>219</v>
      </c>
      <c r="D117" t="s">
        <v>58</v>
      </c>
      <c r="E117" s="1">
        <v>30</v>
      </c>
    </row>
    <row r="118" spans="1:5" ht="19.5" customHeight="1" x14ac:dyDescent="0.25">
      <c r="A118" s="9">
        <v>46138</v>
      </c>
      <c r="B118">
        <f>MONTH(TbSaida[[#This Row],[DATA]])</f>
        <v>4</v>
      </c>
      <c r="C118" t="s">
        <v>219</v>
      </c>
      <c r="D118" t="s">
        <v>58</v>
      </c>
      <c r="E118" s="1">
        <v>10</v>
      </c>
    </row>
    <row r="119" spans="1:5" ht="19.5" customHeight="1" x14ac:dyDescent="0.25">
      <c r="A119" s="9">
        <v>46140</v>
      </c>
      <c r="B119">
        <f>MONTH(TbSaida[[#This Row],[DATA]])</f>
        <v>4</v>
      </c>
      <c r="C119" t="s">
        <v>264</v>
      </c>
      <c r="D119" t="s">
        <v>58</v>
      </c>
      <c r="E119" s="1">
        <v>120</v>
      </c>
    </row>
    <row r="120" spans="1:5" ht="19.5" customHeight="1" x14ac:dyDescent="0.25">
      <c r="A120" s="9">
        <v>46140</v>
      </c>
      <c r="B120">
        <f>MONTH(TbSaida[[#This Row],[DATA]])</f>
        <v>4</v>
      </c>
      <c r="C120" t="s">
        <v>421</v>
      </c>
      <c r="D120" t="s">
        <v>58</v>
      </c>
      <c r="E120" s="1">
        <v>25</v>
      </c>
    </row>
    <row r="121" spans="1:5" ht="19.5" customHeight="1" x14ac:dyDescent="0.25">
      <c r="A121" s="9">
        <v>46142</v>
      </c>
      <c r="B121">
        <f>MONTH(TbSaida[[#This Row],[DATA]])</f>
        <v>4</v>
      </c>
      <c r="C121" t="s">
        <v>323</v>
      </c>
      <c r="D121" t="s">
        <v>58</v>
      </c>
      <c r="E121" s="1">
        <v>7.97</v>
      </c>
    </row>
    <row r="122" spans="1:5" ht="19.5" customHeight="1" x14ac:dyDescent="0.25">
      <c r="A122" s="9">
        <v>46142</v>
      </c>
      <c r="B122">
        <f>MONTH(TbSaida[[#This Row],[DATA]])</f>
        <v>4</v>
      </c>
      <c r="C122" t="s">
        <v>383</v>
      </c>
      <c r="D122" t="s">
        <v>58</v>
      </c>
      <c r="E122" s="1">
        <v>6</v>
      </c>
    </row>
    <row r="123" spans="1:5" ht="19.5" customHeight="1" x14ac:dyDescent="0.25">
      <c r="A123" s="9">
        <v>46143</v>
      </c>
      <c r="B123">
        <f>MONTH(TbSaida[[#This Row],[DATA]])</f>
        <v>5</v>
      </c>
      <c r="C123" t="s">
        <v>219</v>
      </c>
      <c r="D123" t="s">
        <v>58</v>
      </c>
      <c r="E123" s="1">
        <v>70</v>
      </c>
    </row>
    <row r="124" spans="1:5" ht="19.5" customHeight="1" x14ac:dyDescent="0.25">
      <c r="A124" s="9">
        <v>46144</v>
      </c>
      <c r="B124">
        <f>MONTH(TbSaida[[#This Row],[DATA]])</f>
        <v>5</v>
      </c>
      <c r="C124" t="s">
        <v>219</v>
      </c>
      <c r="D124" t="s">
        <v>58</v>
      </c>
      <c r="E124" s="1">
        <v>50</v>
      </c>
    </row>
    <row r="125" spans="1:5" ht="19.5" customHeight="1" x14ac:dyDescent="0.25">
      <c r="A125" s="9">
        <v>46145</v>
      </c>
      <c r="B125">
        <f>MONTH(TbSaida[[#This Row],[DATA]])</f>
        <v>5</v>
      </c>
      <c r="C125" t="s">
        <v>422</v>
      </c>
      <c r="D125" t="s">
        <v>58</v>
      </c>
      <c r="E125" s="1">
        <v>81.540000000000006</v>
      </c>
    </row>
    <row r="126" spans="1:5" ht="19.5" customHeight="1" x14ac:dyDescent="0.25">
      <c r="A126" s="9">
        <v>46146</v>
      </c>
      <c r="B126">
        <f>MONTH(TbSaida[[#This Row],[DATA]])</f>
        <v>5</v>
      </c>
      <c r="C126" t="s">
        <v>219</v>
      </c>
      <c r="D126" t="s">
        <v>58</v>
      </c>
      <c r="E126" s="1">
        <v>20</v>
      </c>
    </row>
    <row r="127" spans="1:5" ht="19.5" customHeight="1" x14ac:dyDescent="0.25">
      <c r="A127" s="9">
        <v>46146</v>
      </c>
      <c r="B127">
        <f>MONTH(TbSaida[[#This Row],[DATA]])</f>
        <v>5</v>
      </c>
      <c r="C127" t="s">
        <v>219</v>
      </c>
      <c r="D127" t="s">
        <v>58</v>
      </c>
      <c r="E127" s="1">
        <v>15.07</v>
      </c>
    </row>
    <row r="128" spans="1:5" ht="19.5" customHeight="1" x14ac:dyDescent="0.25">
      <c r="A128" s="9"/>
      <c r="B128">
        <f>MONTH(TbSaida[[#This Row],[DATA]])</f>
        <v>1</v>
      </c>
    </row>
    <row r="129" spans="1:2" ht="19.5" customHeight="1" x14ac:dyDescent="0.25">
      <c r="A129" s="9"/>
      <c r="B129">
        <f>MONTH(TbSaida[[#This Row],[DATA]])</f>
        <v>1</v>
      </c>
    </row>
    <row r="130" spans="1:2" ht="19.5" customHeight="1" x14ac:dyDescent="0.25">
      <c r="A130" s="9"/>
      <c r="B130">
        <f>MONTH(TbSaida[[#This Row],[DATA]])</f>
        <v>1</v>
      </c>
    </row>
    <row r="131" spans="1:2" ht="19.5" customHeight="1" x14ac:dyDescent="0.25">
      <c r="A131" s="9"/>
      <c r="B131">
        <f>MONTH(TbSaida[[#This Row],[DATA]])</f>
        <v>1</v>
      </c>
    </row>
    <row r="132" spans="1:2" ht="19.5" customHeight="1" x14ac:dyDescent="0.25">
      <c r="A132" s="9"/>
      <c r="B132">
        <f>MONTH(TbSaida[[#This Row],[DATA]])</f>
        <v>1</v>
      </c>
    </row>
    <row r="133" spans="1:2" ht="19.5" customHeight="1" x14ac:dyDescent="0.25">
      <c r="A133" s="9"/>
      <c r="B133">
        <f>MONTH(TbSaida[[#This Row],[DATA]])</f>
        <v>1</v>
      </c>
    </row>
    <row r="134" spans="1:2" ht="19.5" customHeight="1" x14ac:dyDescent="0.25">
      <c r="A134" s="9"/>
      <c r="B134">
        <f>MONTH(TbSaida[[#This Row],[DATA]])</f>
        <v>1</v>
      </c>
    </row>
    <row r="135" spans="1:2" ht="19.5" customHeight="1" x14ac:dyDescent="0.25">
      <c r="A135" s="9"/>
      <c r="B135">
        <f>MONTH(TbSaida[[#This Row],[DATA]])</f>
        <v>1</v>
      </c>
    </row>
    <row r="136" spans="1:2" ht="19.5" customHeight="1" x14ac:dyDescent="0.25">
      <c r="A136" s="9"/>
      <c r="B136">
        <f>MONTH(TbSaida[[#This Row],[DATA]])</f>
        <v>1</v>
      </c>
    </row>
    <row r="137" spans="1:2" ht="19.5" customHeight="1" x14ac:dyDescent="0.25">
      <c r="A137" s="9"/>
      <c r="B137">
        <f>MONTH(TbSaida[[#This Row],[DATA]])</f>
        <v>1</v>
      </c>
    </row>
    <row r="138" spans="1:2" ht="19.5" customHeight="1" x14ac:dyDescent="0.25">
      <c r="A138" s="9"/>
      <c r="B138">
        <f>MONTH(TbSaida[[#This Row],[DATA]])</f>
        <v>1</v>
      </c>
    </row>
    <row r="139" spans="1:2" ht="19.5" customHeight="1" x14ac:dyDescent="0.25">
      <c r="A139" s="9"/>
      <c r="B139">
        <f>MONTH(TbSaida[[#This Row],[DATA]])</f>
        <v>1</v>
      </c>
    </row>
    <row r="140" spans="1:2" ht="19.5" customHeight="1" x14ac:dyDescent="0.25">
      <c r="A140" s="9"/>
      <c r="B140">
        <f>MONTH(TbSaida[[#This Row],[DATA]])</f>
        <v>1</v>
      </c>
    </row>
    <row r="141" spans="1:2" ht="19.5" customHeight="1" x14ac:dyDescent="0.25">
      <c r="A141" s="9"/>
      <c r="B141">
        <f>MONTH(TbSaida[[#This Row],[DATA]])</f>
        <v>1</v>
      </c>
    </row>
    <row r="142" spans="1:2" ht="19.5" customHeight="1" x14ac:dyDescent="0.25">
      <c r="A142" s="9"/>
      <c r="B142">
        <f>MONTH(TbSaida[[#This Row],[DATA]])</f>
        <v>1</v>
      </c>
    </row>
    <row r="143" spans="1:2" ht="19.5" customHeight="1" x14ac:dyDescent="0.25">
      <c r="A143" s="9"/>
      <c r="B143">
        <f>MONTH(TbSaida[[#This Row],[DATA]])</f>
        <v>1</v>
      </c>
    </row>
    <row r="144" spans="1:2" ht="19.5" customHeight="1" x14ac:dyDescent="0.25">
      <c r="A144" s="9"/>
      <c r="B144">
        <f>MONTH(TbSaida[[#This Row],[DATA]])</f>
        <v>1</v>
      </c>
    </row>
    <row r="145" spans="1:3" ht="19.5" customHeight="1" x14ac:dyDescent="0.25">
      <c r="A145" s="9"/>
      <c r="B145">
        <f>MONTH(TbSaida[[#This Row],[DATA]])</f>
        <v>1</v>
      </c>
    </row>
    <row r="146" spans="1:3" ht="19.5" customHeight="1" x14ac:dyDescent="0.25">
      <c r="A146" s="9"/>
      <c r="B146">
        <f>MONTH(TbSaida[[#This Row],[DATA]])</f>
        <v>1</v>
      </c>
    </row>
    <row r="147" spans="1:3" ht="19.5" customHeight="1" x14ac:dyDescent="0.25">
      <c r="A147" s="9"/>
      <c r="B147">
        <f>MONTH(TbSaida[[#This Row],[DATA]])</f>
        <v>1</v>
      </c>
    </row>
    <row r="148" spans="1:3" ht="19.5" customHeight="1" x14ac:dyDescent="0.25">
      <c r="A148" s="9"/>
      <c r="B148">
        <f>MONTH(TbSaida[[#This Row],[DATA]])</f>
        <v>1</v>
      </c>
    </row>
    <row r="149" spans="1:3" ht="19.5" customHeight="1" x14ac:dyDescent="0.25">
      <c r="A149" s="9"/>
      <c r="B149">
        <f>MONTH(TbSaida[[#This Row],[DATA]])</f>
        <v>1</v>
      </c>
    </row>
    <row r="150" spans="1:3" ht="19.5" customHeight="1" x14ac:dyDescent="0.25">
      <c r="A150" s="9"/>
      <c r="B150">
        <f>MONTH(TbSaida[[#This Row],[DATA]])</f>
        <v>1</v>
      </c>
    </row>
    <row r="151" spans="1:3" ht="19.5" customHeight="1" x14ac:dyDescent="0.25">
      <c r="A151" s="9"/>
      <c r="B151">
        <f>MONTH(TbSaida[[#This Row],[DATA]])</f>
        <v>1</v>
      </c>
    </row>
    <row r="152" spans="1:3" ht="19.5" customHeight="1" x14ac:dyDescent="0.25">
      <c r="A152" s="9"/>
      <c r="B152">
        <f>MONTH(TbSaida[[#This Row],[DATA]])</f>
        <v>1</v>
      </c>
      <c r="C152" s="1"/>
    </row>
    <row r="153" spans="1:3" ht="19.5" customHeight="1" x14ac:dyDescent="0.25">
      <c r="A153" s="9"/>
      <c r="B153">
        <f>MONTH(TbSaida[[#This Row],[DATA]])</f>
        <v>1</v>
      </c>
    </row>
    <row r="154" spans="1:3" ht="19.5" customHeight="1" x14ac:dyDescent="0.25">
      <c r="A154" s="9"/>
      <c r="B154">
        <f>MONTH(TbSaida[[#This Row],[DATA]])</f>
        <v>1</v>
      </c>
    </row>
    <row r="155" spans="1:3" ht="19.5" customHeight="1" x14ac:dyDescent="0.25">
      <c r="A155" s="9"/>
      <c r="B155">
        <f>MONTH(TbSaida[[#This Row],[DATA]])</f>
        <v>1</v>
      </c>
    </row>
    <row r="156" spans="1:3" ht="19.5" customHeight="1" x14ac:dyDescent="0.25">
      <c r="A156" s="9"/>
      <c r="B156">
        <f>MONTH(TbSaida[[#This Row],[DATA]])</f>
        <v>1</v>
      </c>
    </row>
    <row r="157" spans="1:3" ht="19.5" customHeight="1" x14ac:dyDescent="0.25">
      <c r="A157" s="9"/>
      <c r="B157">
        <f>MONTH(TbSaida[[#This Row],[DATA]])</f>
        <v>1</v>
      </c>
    </row>
    <row r="158" spans="1:3" ht="19.5" customHeight="1" x14ac:dyDescent="0.25">
      <c r="A158" s="9"/>
      <c r="B158">
        <f>MONTH(TbSaida[[#This Row],[DATA]])</f>
        <v>1</v>
      </c>
    </row>
    <row r="159" spans="1:3" ht="19.5" customHeight="1" x14ac:dyDescent="0.25">
      <c r="A159" s="9"/>
      <c r="B159">
        <f>MONTH(TbSaida[[#This Row],[DATA]])</f>
        <v>1</v>
      </c>
    </row>
    <row r="160" spans="1:3" ht="19.5" customHeight="1" x14ac:dyDescent="0.25">
      <c r="A160" s="9"/>
      <c r="B160">
        <f>MONTH(TbSaida[[#This Row],[DATA]])</f>
        <v>1</v>
      </c>
    </row>
    <row r="161" spans="1:2" ht="19.5" customHeight="1" x14ac:dyDescent="0.25">
      <c r="A161" s="9"/>
      <c r="B161">
        <f>MONTH(TbSaida[[#This Row],[DATA]])</f>
        <v>1</v>
      </c>
    </row>
    <row r="162" spans="1:2" ht="19.5" customHeight="1" x14ac:dyDescent="0.25">
      <c r="A162" s="9"/>
      <c r="B162">
        <f>MONTH(TbSaida[[#This Row],[DATA]])</f>
        <v>1</v>
      </c>
    </row>
    <row r="163" spans="1:2" ht="19.5" customHeight="1" x14ac:dyDescent="0.25">
      <c r="A163" s="9"/>
      <c r="B163">
        <f>MONTH(TbSaida[[#This Row],[DATA]])</f>
        <v>1</v>
      </c>
    </row>
    <row r="164" spans="1:2" ht="19.5" customHeight="1" x14ac:dyDescent="0.25">
      <c r="A164" s="9"/>
      <c r="B164">
        <f>MONTH(TbSaida[[#This Row],[DATA]])</f>
        <v>1</v>
      </c>
    </row>
    <row r="165" spans="1:2" ht="19.5" customHeight="1" x14ac:dyDescent="0.25">
      <c r="A165" s="9"/>
      <c r="B165">
        <f>MONTH(TbSaida[[#This Row],[DATA]])</f>
        <v>1</v>
      </c>
    </row>
    <row r="166" spans="1:2" ht="19.5" customHeight="1" x14ac:dyDescent="0.25">
      <c r="A166" s="9"/>
      <c r="B166">
        <f>MONTH(TbSaida[[#This Row],[DATA]])</f>
        <v>1</v>
      </c>
    </row>
    <row r="167" spans="1:2" ht="19.5" customHeight="1" x14ac:dyDescent="0.25">
      <c r="A167" s="9"/>
      <c r="B167">
        <f>MONTH(TbSaida[[#This Row],[DATA]])</f>
        <v>1</v>
      </c>
    </row>
    <row r="168" spans="1:2" ht="19.5" customHeight="1" x14ac:dyDescent="0.25">
      <c r="A168" s="9"/>
      <c r="B168">
        <f>MONTH(TbSaida[[#This Row],[DATA]])</f>
        <v>1</v>
      </c>
    </row>
    <row r="169" spans="1:2" ht="19.5" customHeight="1" x14ac:dyDescent="0.25">
      <c r="A169" s="9"/>
      <c r="B169">
        <f>MONTH(TbSaida[[#This Row],[DATA]])</f>
        <v>1</v>
      </c>
    </row>
    <row r="170" spans="1:2" ht="19.5" customHeight="1" x14ac:dyDescent="0.25">
      <c r="A170" s="9"/>
      <c r="B170">
        <f>MONTH(TbSaida[[#This Row],[DATA]])</f>
        <v>1</v>
      </c>
    </row>
    <row r="171" spans="1:2" ht="19.5" customHeight="1" x14ac:dyDescent="0.25">
      <c r="A171" s="9"/>
      <c r="B171">
        <f>MONTH(TbSaida[[#This Row],[DATA]])</f>
        <v>1</v>
      </c>
    </row>
    <row r="172" spans="1:2" ht="19.5" customHeight="1" x14ac:dyDescent="0.25">
      <c r="A172" s="9"/>
      <c r="B172">
        <f>MONTH(TbSaida[[#This Row],[DATA]])</f>
        <v>1</v>
      </c>
    </row>
    <row r="173" spans="1:2" ht="19.5" customHeight="1" x14ac:dyDescent="0.25">
      <c r="A173" s="9"/>
      <c r="B173">
        <f>MONTH(TbSaida[[#This Row],[DATA]])</f>
        <v>1</v>
      </c>
    </row>
    <row r="174" spans="1:2" ht="19.5" customHeight="1" x14ac:dyDescent="0.25">
      <c r="A174" s="9"/>
      <c r="B174">
        <f>MONTH(TbSaida[[#This Row],[DATA]])</f>
        <v>1</v>
      </c>
    </row>
    <row r="175" spans="1:2" ht="19.5" customHeight="1" x14ac:dyDescent="0.25">
      <c r="A175" s="9"/>
      <c r="B175">
        <f>MONTH(TbSaida[[#This Row],[DATA]])</f>
        <v>1</v>
      </c>
    </row>
    <row r="176" spans="1:2" ht="19.5" customHeight="1" x14ac:dyDescent="0.25">
      <c r="A176" s="9"/>
      <c r="B176">
        <f>MONTH(TbSaida[[#This Row],[DATA]])</f>
        <v>1</v>
      </c>
    </row>
    <row r="177" spans="1:2" ht="19.5" customHeight="1" x14ac:dyDescent="0.25">
      <c r="A177" s="9"/>
      <c r="B177">
        <f>MONTH(TbSaida[[#This Row],[DATA]])</f>
        <v>1</v>
      </c>
    </row>
    <row r="178" spans="1:2" ht="19.5" customHeight="1" x14ac:dyDescent="0.25">
      <c r="A178" s="9"/>
      <c r="B178">
        <f>MONTH(TbSaida[[#This Row],[DATA]])</f>
        <v>1</v>
      </c>
    </row>
    <row r="179" spans="1:2" ht="19.5" customHeight="1" x14ac:dyDescent="0.25">
      <c r="A179" s="9"/>
      <c r="B179">
        <f>MONTH(TbSaida[[#This Row],[DATA]])</f>
        <v>1</v>
      </c>
    </row>
    <row r="180" spans="1:2" ht="19.5" customHeight="1" x14ac:dyDescent="0.25">
      <c r="A180" s="9"/>
      <c r="B180">
        <f>MONTH(TbSaida[[#This Row],[DATA]])</f>
        <v>1</v>
      </c>
    </row>
    <row r="181" spans="1:2" ht="19.5" customHeight="1" x14ac:dyDescent="0.25">
      <c r="A181" s="9"/>
      <c r="B181">
        <f>MONTH(TbSaida[[#This Row],[DATA]])</f>
        <v>1</v>
      </c>
    </row>
    <row r="182" spans="1:2" ht="19.5" customHeight="1" x14ac:dyDescent="0.25">
      <c r="A182" s="9"/>
      <c r="B182">
        <f>MONTH(TbSaida[[#This Row],[DATA]])</f>
        <v>1</v>
      </c>
    </row>
    <row r="183" spans="1:2" ht="19.5" customHeight="1" x14ac:dyDescent="0.25">
      <c r="A183" s="9"/>
      <c r="B183">
        <f>MONTH(TbSaida[[#This Row],[DATA]])</f>
        <v>1</v>
      </c>
    </row>
    <row r="184" spans="1:2" ht="19.5" customHeight="1" x14ac:dyDescent="0.25">
      <c r="A184" s="9"/>
      <c r="B184">
        <f>MONTH(TbSaida[[#This Row],[DATA]])</f>
        <v>1</v>
      </c>
    </row>
    <row r="185" spans="1:2" ht="19.5" customHeight="1" x14ac:dyDescent="0.25">
      <c r="A185" s="9"/>
      <c r="B185">
        <f>MONTH(TbSaida[[#This Row],[DATA]])</f>
        <v>1</v>
      </c>
    </row>
    <row r="186" spans="1:2" ht="19.5" customHeight="1" x14ac:dyDescent="0.25">
      <c r="A186" s="9"/>
      <c r="B186">
        <f>MONTH(TbSaida[[#This Row],[DATA]])</f>
        <v>1</v>
      </c>
    </row>
    <row r="187" spans="1:2" ht="19.5" customHeight="1" x14ac:dyDescent="0.25">
      <c r="A187" s="9"/>
      <c r="B187">
        <f>MONTH(TbSaida[[#This Row],[DATA]])</f>
        <v>1</v>
      </c>
    </row>
    <row r="188" spans="1:2" ht="19.5" customHeight="1" x14ac:dyDescent="0.25">
      <c r="A188" s="9"/>
      <c r="B188">
        <f>MONTH(TbSaida[[#This Row],[DATA]])</f>
        <v>1</v>
      </c>
    </row>
    <row r="189" spans="1:2" ht="19.5" customHeight="1" x14ac:dyDescent="0.25">
      <c r="A189" s="9"/>
      <c r="B189">
        <f>MONTH(TbSaida[[#This Row],[DATA]])</f>
        <v>1</v>
      </c>
    </row>
    <row r="190" spans="1:2" ht="19.5" customHeight="1" x14ac:dyDescent="0.25">
      <c r="A190" s="9"/>
      <c r="B190">
        <f>MONTH(TbSaida[[#This Row],[DATA]])</f>
        <v>1</v>
      </c>
    </row>
    <row r="191" spans="1:2" ht="19.5" customHeight="1" x14ac:dyDescent="0.25">
      <c r="A191" s="9"/>
      <c r="B191">
        <f>MONTH(TbSaida[[#This Row],[DATA]])</f>
        <v>1</v>
      </c>
    </row>
    <row r="192" spans="1:2" ht="19.5" customHeight="1" x14ac:dyDescent="0.25">
      <c r="A192" s="9"/>
      <c r="B192">
        <f>MONTH(TbSaida[[#This Row],[DATA]])</f>
        <v>1</v>
      </c>
    </row>
    <row r="193" spans="1:2" ht="19.5" customHeight="1" x14ac:dyDescent="0.25">
      <c r="A193" s="9"/>
      <c r="B193">
        <f>MONTH(TbSaida[[#This Row],[DATA]])</f>
        <v>1</v>
      </c>
    </row>
    <row r="194" spans="1:2" ht="19.5" customHeight="1" x14ac:dyDescent="0.25">
      <c r="A194" s="9"/>
      <c r="B194">
        <f>MONTH(TbSaida[[#This Row],[DATA]])</f>
        <v>1</v>
      </c>
    </row>
    <row r="195" spans="1:2" ht="19.5" customHeight="1" x14ac:dyDescent="0.25">
      <c r="A195" s="9"/>
      <c r="B195">
        <f>MONTH(TbSaida[[#This Row],[DATA]])</f>
        <v>1</v>
      </c>
    </row>
    <row r="196" spans="1:2" ht="19.5" customHeight="1" x14ac:dyDescent="0.25">
      <c r="A196" s="9"/>
      <c r="B196">
        <f>MONTH(TbSaida[[#This Row],[DATA]])</f>
        <v>1</v>
      </c>
    </row>
    <row r="197" spans="1:2" ht="19.5" customHeight="1" x14ac:dyDescent="0.25">
      <c r="A197" s="9"/>
      <c r="B197">
        <f>MONTH(TbSaida[[#This Row],[DATA]])</f>
        <v>1</v>
      </c>
    </row>
    <row r="198" spans="1:2" ht="19.5" customHeight="1" x14ac:dyDescent="0.25">
      <c r="A198" s="9"/>
      <c r="B198">
        <f>MONTH(TbSaida[[#This Row],[DATA]])</f>
        <v>1</v>
      </c>
    </row>
    <row r="199" spans="1:2" ht="19.5" customHeight="1" x14ac:dyDescent="0.25">
      <c r="A199" s="9"/>
      <c r="B199">
        <f>MONTH(TbSaida[[#This Row],[DATA]])</f>
        <v>1</v>
      </c>
    </row>
    <row r="200" spans="1:2" ht="19.5" customHeight="1" x14ac:dyDescent="0.25">
      <c r="A200" s="9"/>
      <c r="B200">
        <f>MONTH(TbSaida[[#This Row],[DATA]])</f>
        <v>1</v>
      </c>
    </row>
    <row r="201" spans="1:2" ht="19.5" customHeight="1" x14ac:dyDescent="0.25">
      <c r="A201" s="9"/>
      <c r="B201">
        <f>MONTH(TbSaida[[#This Row],[DATA]])</f>
        <v>1</v>
      </c>
    </row>
    <row r="202" spans="1:2" ht="19.5" customHeight="1" x14ac:dyDescent="0.25">
      <c r="A202" s="9"/>
      <c r="B202">
        <f>MONTH(TbSaida[[#This Row],[DATA]])</f>
        <v>1</v>
      </c>
    </row>
    <row r="203" spans="1:2" ht="19.5" customHeight="1" x14ac:dyDescent="0.25">
      <c r="A203" s="9"/>
      <c r="B203">
        <f>MONTH(TbSaida[[#This Row],[DATA]])</f>
        <v>1</v>
      </c>
    </row>
    <row r="204" spans="1:2" ht="19.5" customHeight="1" x14ac:dyDescent="0.25">
      <c r="A204" s="9"/>
      <c r="B204">
        <f>MONTH(TbSaida[[#This Row],[DATA]])</f>
        <v>1</v>
      </c>
    </row>
    <row r="205" spans="1:2" ht="19.5" customHeight="1" x14ac:dyDescent="0.25">
      <c r="A205" s="9"/>
      <c r="B205">
        <f>MONTH(TbSaida[[#This Row],[DATA]])</f>
        <v>1</v>
      </c>
    </row>
    <row r="206" spans="1:2" ht="19.5" customHeight="1" x14ac:dyDescent="0.25">
      <c r="A206" s="9"/>
      <c r="B206">
        <f>MONTH(TbSaida[[#This Row],[DATA]])</f>
        <v>1</v>
      </c>
    </row>
    <row r="207" spans="1:2" ht="19.5" customHeight="1" x14ac:dyDescent="0.25">
      <c r="A207" s="9"/>
      <c r="B207">
        <f>MONTH(TbSaida[[#This Row],[DATA]])</f>
        <v>1</v>
      </c>
    </row>
    <row r="208" spans="1:2" ht="19.5" customHeight="1" x14ac:dyDescent="0.25">
      <c r="A208" s="9"/>
      <c r="B208">
        <f>MONTH(TbSaida[[#This Row],[DATA]])</f>
        <v>1</v>
      </c>
    </row>
    <row r="209" spans="1:2" ht="19.5" customHeight="1" x14ac:dyDescent="0.25">
      <c r="A209" s="9"/>
      <c r="B209">
        <f>MONTH(TbSaida[[#This Row],[DATA]])</f>
        <v>1</v>
      </c>
    </row>
    <row r="210" spans="1:2" ht="19.5" customHeight="1" x14ac:dyDescent="0.25">
      <c r="A210" s="9"/>
      <c r="B210">
        <f>MONTH(TbSaida[[#This Row],[DATA]])</f>
        <v>1</v>
      </c>
    </row>
    <row r="211" spans="1:2" ht="19.5" customHeight="1" x14ac:dyDescent="0.25">
      <c r="A211" s="9"/>
      <c r="B211">
        <f>MONTH(TbSaida[[#This Row],[DATA]])</f>
        <v>1</v>
      </c>
    </row>
    <row r="212" spans="1:2" ht="19.5" customHeight="1" x14ac:dyDescent="0.25">
      <c r="A212" s="9"/>
      <c r="B212">
        <f>MONTH(TbSaida[[#This Row],[DATA]])</f>
        <v>1</v>
      </c>
    </row>
    <row r="213" spans="1:2" ht="19.5" customHeight="1" x14ac:dyDescent="0.25">
      <c r="A213" s="9"/>
      <c r="B213">
        <f>MONTH(TbSaida[[#This Row],[DATA]])</f>
        <v>1</v>
      </c>
    </row>
    <row r="214" spans="1:2" ht="19.5" customHeight="1" x14ac:dyDescent="0.25">
      <c r="A214" s="9"/>
      <c r="B214">
        <f>MONTH(TbSaida[[#This Row],[DATA]])</f>
        <v>1</v>
      </c>
    </row>
    <row r="215" spans="1:2" ht="19.5" customHeight="1" x14ac:dyDescent="0.25">
      <c r="A215" s="9"/>
      <c r="B215">
        <f>MONTH(TbSaida[[#This Row],[DATA]])</f>
        <v>1</v>
      </c>
    </row>
    <row r="216" spans="1:2" ht="19.5" customHeight="1" x14ac:dyDescent="0.25">
      <c r="A216" s="9"/>
      <c r="B216">
        <f>MONTH(TbSaida[[#This Row],[DATA]])</f>
        <v>1</v>
      </c>
    </row>
    <row r="217" spans="1:2" ht="19.5" customHeight="1" x14ac:dyDescent="0.25">
      <c r="A217" s="9"/>
      <c r="B217">
        <f>MONTH(TbSaida[[#This Row],[DATA]])</f>
        <v>1</v>
      </c>
    </row>
    <row r="218" spans="1:2" ht="19.5" customHeight="1" x14ac:dyDescent="0.25">
      <c r="A218" s="9"/>
      <c r="B218">
        <f>MONTH(TbSaida[[#This Row],[DATA]])</f>
        <v>1</v>
      </c>
    </row>
    <row r="219" spans="1:2" ht="19.5" customHeight="1" x14ac:dyDescent="0.25">
      <c r="A219" s="9"/>
      <c r="B219">
        <f>MONTH(TbSaida[[#This Row],[DATA]])</f>
        <v>1</v>
      </c>
    </row>
    <row r="220" spans="1:2" ht="19.5" customHeight="1" x14ac:dyDescent="0.25">
      <c r="A220" s="9"/>
      <c r="B220">
        <f>MONTH(TbSaida[[#This Row],[DATA]])</f>
        <v>1</v>
      </c>
    </row>
    <row r="221" spans="1:2" ht="19.5" customHeight="1" x14ac:dyDescent="0.25">
      <c r="A221" s="9"/>
      <c r="B221">
        <f>MONTH(TbSaida[[#This Row],[DATA]])</f>
        <v>1</v>
      </c>
    </row>
    <row r="222" spans="1:2" ht="19.5" customHeight="1" x14ac:dyDescent="0.25">
      <c r="A222" s="9"/>
      <c r="B222">
        <f>MONTH(TbSaida[[#This Row],[DATA]])</f>
        <v>1</v>
      </c>
    </row>
    <row r="223" spans="1:2" ht="19.5" customHeight="1" x14ac:dyDescent="0.25">
      <c r="A223" s="9"/>
      <c r="B223">
        <f>MONTH(TbSaida[[#This Row],[DATA]])</f>
        <v>1</v>
      </c>
    </row>
    <row r="224" spans="1:2" ht="19.5" customHeight="1" x14ac:dyDescent="0.25">
      <c r="A224" s="9"/>
      <c r="B224">
        <f>MONTH(TbSaida[[#This Row],[DATA]])</f>
        <v>1</v>
      </c>
    </row>
    <row r="225" spans="1:2" ht="19.5" customHeight="1" x14ac:dyDescent="0.25">
      <c r="A225" s="9"/>
      <c r="B225">
        <f>MONTH(TbSaida[[#This Row],[DATA]])</f>
        <v>1</v>
      </c>
    </row>
    <row r="226" spans="1:2" ht="19.5" customHeight="1" x14ac:dyDescent="0.25">
      <c r="A226" s="9"/>
      <c r="B226">
        <f>MONTH(TbSaida[[#This Row],[DATA]])</f>
        <v>1</v>
      </c>
    </row>
    <row r="227" spans="1:2" ht="19.5" customHeight="1" x14ac:dyDescent="0.25">
      <c r="A227" s="9"/>
      <c r="B227">
        <f>MONTH(TbSaida[[#This Row],[DATA]])</f>
        <v>1</v>
      </c>
    </row>
    <row r="228" spans="1:2" ht="19.5" customHeight="1" x14ac:dyDescent="0.25">
      <c r="A228" s="9"/>
      <c r="B228">
        <f>MONTH(TbSaida[[#This Row],[DATA]])</f>
        <v>1</v>
      </c>
    </row>
    <row r="229" spans="1:2" ht="19.5" customHeight="1" x14ac:dyDescent="0.25">
      <c r="A229" s="9"/>
      <c r="B229">
        <f>MONTH(TbSaida[[#This Row],[DATA]])</f>
        <v>1</v>
      </c>
    </row>
    <row r="230" spans="1:2" ht="19.5" customHeight="1" x14ac:dyDescent="0.25">
      <c r="A230" s="9"/>
      <c r="B230">
        <f>MONTH(TbSaida[[#This Row],[DATA]])</f>
        <v>1</v>
      </c>
    </row>
    <row r="231" spans="1:2" ht="19.5" customHeight="1" x14ac:dyDescent="0.25">
      <c r="A231" s="9"/>
      <c r="B231">
        <f>MONTH(TbSaida[[#This Row],[DATA]])</f>
        <v>1</v>
      </c>
    </row>
    <row r="232" spans="1:2" ht="19.5" customHeight="1" x14ac:dyDescent="0.25">
      <c r="A232" s="9"/>
      <c r="B232">
        <f>MONTH(TbSaida[[#This Row],[DATA]])</f>
        <v>1</v>
      </c>
    </row>
    <row r="233" spans="1:2" ht="19.5" customHeight="1" x14ac:dyDescent="0.25">
      <c r="A233" s="9"/>
      <c r="B233">
        <f>MONTH(TbSaida[[#This Row],[DATA]])</f>
        <v>1</v>
      </c>
    </row>
    <row r="234" spans="1:2" ht="19.5" customHeight="1" x14ac:dyDescent="0.25">
      <c r="A234" s="9"/>
      <c r="B234">
        <f>MONTH(TbSaida[[#This Row],[DATA]])</f>
        <v>1</v>
      </c>
    </row>
    <row r="235" spans="1:2" ht="19.5" customHeight="1" x14ac:dyDescent="0.25">
      <c r="A235" s="9"/>
      <c r="B235">
        <f>MONTH(TbSaida[[#This Row],[DATA]])</f>
        <v>1</v>
      </c>
    </row>
    <row r="236" spans="1:2" ht="19.5" customHeight="1" x14ac:dyDescent="0.25">
      <c r="A236" s="9"/>
      <c r="B236">
        <f>MONTH(TbSaida[[#This Row],[DATA]])</f>
        <v>1</v>
      </c>
    </row>
    <row r="237" spans="1:2" ht="19.5" customHeight="1" x14ac:dyDescent="0.25">
      <c r="A237" s="9"/>
      <c r="B237">
        <f>MONTH(TbSaida[[#This Row],[DATA]])</f>
        <v>1</v>
      </c>
    </row>
    <row r="238" spans="1:2" ht="19.5" customHeight="1" x14ac:dyDescent="0.25">
      <c r="A238" s="9"/>
      <c r="B238">
        <f>MONTH(TbSaida[[#This Row],[DATA]])</f>
        <v>1</v>
      </c>
    </row>
    <row r="239" spans="1:2" ht="19.5" customHeight="1" x14ac:dyDescent="0.25">
      <c r="A239" s="9"/>
      <c r="B239">
        <f>MONTH(TbSaida[[#This Row],[DATA]])</f>
        <v>1</v>
      </c>
    </row>
    <row r="240" spans="1:2" ht="19.5" customHeight="1" x14ac:dyDescent="0.25">
      <c r="A240" s="9"/>
      <c r="B240">
        <f>MONTH(TbSaida[[#This Row],[DATA]])</f>
        <v>1</v>
      </c>
    </row>
    <row r="241" spans="1:2" ht="19.5" customHeight="1" x14ac:dyDescent="0.25">
      <c r="A241" s="9"/>
      <c r="B241">
        <f>MONTH(TbSaida[[#This Row],[DATA]])</f>
        <v>1</v>
      </c>
    </row>
    <row r="242" spans="1:2" ht="19.5" customHeight="1" x14ac:dyDescent="0.25">
      <c r="A242" s="9"/>
      <c r="B242">
        <f>MONTH(TbSaida[[#This Row],[DATA]])</f>
        <v>1</v>
      </c>
    </row>
    <row r="243" spans="1:2" ht="19.5" customHeight="1" x14ac:dyDescent="0.25">
      <c r="A243" s="9"/>
      <c r="B243">
        <f>MONTH(TbSaida[[#This Row],[DATA]])</f>
        <v>1</v>
      </c>
    </row>
    <row r="244" spans="1:2" ht="19.5" customHeight="1" x14ac:dyDescent="0.25">
      <c r="A244" s="9"/>
      <c r="B244">
        <f>MONTH(TbSaida[[#This Row],[DATA]])</f>
        <v>1</v>
      </c>
    </row>
    <row r="245" spans="1:2" ht="19.5" customHeight="1" x14ac:dyDescent="0.25">
      <c r="A245" s="9"/>
      <c r="B245">
        <f>MONTH(TbSaida[[#This Row],[DATA]])</f>
        <v>1</v>
      </c>
    </row>
    <row r="246" spans="1:2" ht="19.5" customHeight="1" x14ac:dyDescent="0.25">
      <c r="A246" s="9"/>
      <c r="B246">
        <f>MONTH(TbSaida[[#This Row],[DATA]])</f>
        <v>1</v>
      </c>
    </row>
    <row r="247" spans="1:2" ht="19.5" customHeight="1" x14ac:dyDescent="0.25">
      <c r="A247" s="9"/>
      <c r="B247">
        <f>MONTH(TbSaida[[#This Row],[DATA]])</f>
        <v>1</v>
      </c>
    </row>
    <row r="248" spans="1:2" ht="19.5" customHeight="1" x14ac:dyDescent="0.25">
      <c r="A248" s="9"/>
      <c r="B248">
        <f>MONTH(TbSaida[[#This Row],[DATA]])</f>
        <v>1</v>
      </c>
    </row>
    <row r="249" spans="1:2" ht="19.5" customHeight="1" x14ac:dyDescent="0.25">
      <c r="A249" s="9"/>
      <c r="B249">
        <f>MONTH(TbSaida[[#This Row],[DATA]])</f>
        <v>1</v>
      </c>
    </row>
    <row r="250" spans="1:2" ht="19.5" customHeight="1" x14ac:dyDescent="0.25">
      <c r="A250" s="9"/>
      <c r="B250">
        <f>MONTH(TbSaida[[#This Row],[DATA]])</f>
        <v>1</v>
      </c>
    </row>
    <row r="251" spans="1:2" ht="19.5" customHeight="1" x14ac:dyDescent="0.25">
      <c r="A251" s="9"/>
      <c r="B251">
        <f>MONTH(TbSaida[[#This Row],[DATA]])</f>
        <v>1</v>
      </c>
    </row>
    <row r="252" spans="1:2" ht="19.5" customHeight="1" x14ac:dyDescent="0.25">
      <c r="A252" s="9"/>
      <c r="B252">
        <f>MONTH(TbSaida[[#This Row],[DATA]])</f>
        <v>1</v>
      </c>
    </row>
    <row r="253" spans="1:2" ht="19.5" customHeight="1" x14ac:dyDescent="0.25">
      <c r="A253" s="9"/>
      <c r="B253">
        <f>MONTH(TbSaida[[#This Row],[DATA]])</f>
        <v>1</v>
      </c>
    </row>
    <row r="254" spans="1:2" ht="19.5" customHeight="1" x14ac:dyDescent="0.25">
      <c r="A254" s="9"/>
      <c r="B254">
        <f>MONTH(TbSaida[[#This Row],[DATA]])</f>
        <v>1</v>
      </c>
    </row>
    <row r="255" spans="1:2" ht="19.5" customHeight="1" x14ac:dyDescent="0.25">
      <c r="A255" s="9"/>
      <c r="B255">
        <f>MONTH(TbSaida[[#This Row],[DATA]])</f>
        <v>1</v>
      </c>
    </row>
    <row r="256" spans="1:2" ht="19.5" customHeight="1" x14ac:dyDescent="0.25">
      <c r="A256" s="9"/>
      <c r="B256">
        <f>MONTH(TbSaida[[#This Row],[DATA]])</f>
        <v>1</v>
      </c>
    </row>
    <row r="257" spans="1:2" ht="19.5" customHeight="1" x14ac:dyDescent="0.25">
      <c r="A257" s="9"/>
      <c r="B257">
        <f>MONTH(TbSaida[[#This Row],[DATA]])</f>
        <v>1</v>
      </c>
    </row>
    <row r="258" spans="1:2" ht="19.5" customHeight="1" x14ac:dyDescent="0.25">
      <c r="A258" s="9"/>
      <c r="B258">
        <f>MONTH(TbSaida[[#This Row],[DATA]])</f>
        <v>1</v>
      </c>
    </row>
    <row r="259" spans="1:2" ht="19.5" customHeight="1" x14ac:dyDescent="0.25">
      <c r="A259" s="9"/>
      <c r="B259">
        <f>MONTH(TbSaida[[#This Row],[DATA]])</f>
        <v>1</v>
      </c>
    </row>
    <row r="260" spans="1:2" ht="19.5" customHeight="1" x14ac:dyDescent="0.25">
      <c r="A260" s="9"/>
      <c r="B260">
        <f>MONTH(TbSaida[[#This Row],[DATA]])</f>
        <v>1</v>
      </c>
    </row>
    <row r="261" spans="1:2" ht="19.5" customHeight="1" x14ac:dyDescent="0.25">
      <c r="A261" s="9"/>
      <c r="B261">
        <f>MONTH(TbSaida[[#This Row],[DATA]])</f>
        <v>1</v>
      </c>
    </row>
    <row r="262" spans="1:2" ht="19.5" customHeight="1" x14ac:dyDescent="0.25">
      <c r="A262" s="9"/>
      <c r="B262">
        <f>MONTH(TbSaida[[#This Row],[DATA]])</f>
        <v>1</v>
      </c>
    </row>
    <row r="263" spans="1:2" ht="19.5" customHeight="1" x14ac:dyDescent="0.25">
      <c r="A263" s="9"/>
      <c r="B263">
        <f>MONTH(TbSaida[[#This Row],[DATA]])</f>
        <v>1</v>
      </c>
    </row>
    <row r="264" spans="1:2" ht="19.5" customHeight="1" x14ac:dyDescent="0.25">
      <c r="A264" s="9"/>
      <c r="B264">
        <f>MONTH(TbSaida[[#This Row],[DATA]])</f>
        <v>1</v>
      </c>
    </row>
    <row r="265" spans="1:2" ht="19.5" customHeight="1" x14ac:dyDescent="0.25">
      <c r="A265" s="9"/>
      <c r="B265">
        <f>MONTH(TbSaida[[#This Row],[DATA]])</f>
        <v>1</v>
      </c>
    </row>
    <row r="266" spans="1:2" ht="19.5" customHeight="1" x14ac:dyDescent="0.25">
      <c r="A266" s="9"/>
      <c r="B266">
        <f>MONTH(TbSaida[[#This Row],[DATA]])</f>
        <v>1</v>
      </c>
    </row>
    <row r="267" spans="1:2" ht="19.5" customHeight="1" x14ac:dyDescent="0.25">
      <c r="A267" s="9"/>
      <c r="B267">
        <f>MONTH(TbSaida[[#This Row],[DATA]])</f>
        <v>1</v>
      </c>
    </row>
    <row r="268" spans="1:2" ht="19.5" customHeight="1" x14ac:dyDescent="0.25">
      <c r="A268" s="9"/>
      <c r="B268">
        <f>MONTH(TbSaida[[#This Row],[DATA]])</f>
        <v>1</v>
      </c>
    </row>
    <row r="269" spans="1:2" ht="19.5" customHeight="1" x14ac:dyDescent="0.25">
      <c r="A269" s="9"/>
      <c r="B269">
        <f>MONTH(TbSaida[[#This Row],[DATA]])</f>
        <v>1</v>
      </c>
    </row>
    <row r="270" spans="1:2" ht="19.5" customHeight="1" x14ac:dyDescent="0.25">
      <c r="A270" s="9"/>
      <c r="B270">
        <f>MONTH(TbSaida[[#This Row],[DATA]])</f>
        <v>1</v>
      </c>
    </row>
    <row r="271" spans="1:2" ht="19.5" customHeight="1" x14ac:dyDescent="0.25">
      <c r="A271" s="9"/>
      <c r="B271">
        <f>MONTH(TbSaida[[#This Row],[DATA]])</f>
        <v>1</v>
      </c>
    </row>
    <row r="272" spans="1:2" ht="19.5" customHeight="1" x14ac:dyDescent="0.25">
      <c r="A272" s="9"/>
      <c r="B272">
        <f>MONTH(TbSaida[[#This Row],[DATA]])</f>
        <v>1</v>
      </c>
    </row>
    <row r="273" spans="1:2" ht="19.5" customHeight="1" x14ac:dyDescent="0.25">
      <c r="A273" s="9"/>
      <c r="B273">
        <f>MONTH(TbSaida[[#This Row],[DATA]])</f>
        <v>1</v>
      </c>
    </row>
    <row r="274" spans="1:2" ht="19.5" customHeight="1" x14ac:dyDescent="0.25">
      <c r="A274" s="9"/>
      <c r="B274">
        <f>MONTH(TbSaida[[#This Row],[DATA]])</f>
        <v>1</v>
      </c>
    </row>
    <row r="275" spans="1:2" ht="19.5" customHeight="1" x14ac:dyDescent="0.25">
      <c r="A275" s="9"/>
      <c r="B275">
        <f>MONTH(TbSaida[[#This Row],[DATA]])</f>
        <v>1</v>
      </c>
    </row>
    <row r="276" spans="1:2" ht="19.5" customHeight="1" x14ac:dyDescent="0.25">
      <c r="A276" s="9"/>
      <c r="B276">
        <f>MONTH(TbSaida[[#This Row],[DATA]])</f>
        <v>1</v>
      </c>
    </row>
    <row r="277" spans="1:2" ht="19.5" customHeight="1" x14ac:dyDescent="0.25">
      <c r="A277" s="9"/>
      <c r="B277">
        <f>MONTH(TbSaida[[#This Row],[DATA]])</f>
        <v>1</v>
      </c>
    </row>
    <row r="278" spans="1:2" ht="19.5" customHeight="1" x14ac:dyDescent="0.25">
      <c r="A278" s="9"/>
      <c r="B278">
        <f>MONTH(TbSaida[[#This Row],[DATA]])</f>
        <v>1</v>
      </c>
    </row>
    <row r="279" spans="1:2" ht="19.5" customHeight="1" x14ac:dyDescent="0.25">
      <c r="A279" s="9"/>
      <c r="B279">
        <f>MONTH(TbSaida[[#This Row],[DATA]])</f>
        <v>1</v>
      </c>
    </row>
    <row r="280" spans="1:2" ht="19.5" customHeight="1" x14ac:dyDescent="0.25">
      <c r="A280" s="9"/>
      <c r="B280">
        <f>MONTH(TbSaida[[#This Row],[DATA]])</f>
        <v>1</v>
      </c>
    </row>
    <row r="281" spans="1:2" ht="19.5" customHeight="1" x14ac:dyDescent="0.25">
      <c r="A281" s="9"/>
      <c r="B281">
        <f>MONTH(TbSaida[[#This Row],[DATA]])</f>
        <v>1</v>
      </c>
    </row>
    <row r="282" spans="1:2" ht="19.5" customHeight="1" x14ac:dyDescent="0.25">
      <c r="A282" s="9"/>
      <c r="B282">
        <f>MONTH(TbSaida[[#This Row],[DATA]])</f>
        <v>1</v>
      </c>
    </row>
    <row r="283" spans="1:2" ht="19.5" customHeight="1" x14ac:dyDescent="0.25">
      <c r="A283" s="9"/>
      <c r="B283">
        <f>MONTH(TbSaida[[#This Row],[DATA]])</f>
        <v>1</v>
      </c>
    </row>
    <row r="284" spans="1:2" ht="19.5" customHeight="1" x14ac:dyDescent="0.25">
      <c r="A284" s="9"/>
      <c r="B284">
        <f>MONTH(TbSaida[[#This Row],[DATA]])</f>
        <v>1</v>
      </c>
    </row>
    <row r="285" spans="1:2" ht="19.5" customHeight="1" x14ac:dyDescent="0.25">
      <c r="A285" s="9"/>
      <c r="B285">
        <f>MONTH(TbSaida[[#This Row],[DATA]])</f>
        <v>1</v>
      </c>
    </row>
    <row r="286" spans="1:2" ht="19.5" customHeight="1" x14ac:dyDescent="0.25">
      <c r="A286" s="9"/>
      <c r="B286">
        <f>MONTH(TbSaida[[#This Row],[DATA]])</f>
        <v>1</v>
      </c>
    </row>
    <row r="287" spans="1:2" ht="19.5" customHeight="1" x14ac:dyDescent="0.25">
      <c r="A287" s="9"/>
      <c r="B287">
        <f>MONTH(TbSaida[[#This Row],[DATA]])</f>
        <v>1</v>
      </c>
    </row>
    <row r="288" spans="1:2" ht="19.5" customHeight="1" x14ac:dyDescent="0.25">
      <c r="A288" s="9"/>
      <c r="B288">
        <f>MONTH(TbSaida[[#This Row],[DATA]])</f>
        <v>1</v>
      </c>
    </row>
    <row r="289" spans="1:2" ht="19.5" customHeight="1" x14ac:dyDescent="0.25">
      <c r="A289" s="9"/>
      <c r="B289">
        <f>MONTH(TbSaida[[#This Row],[DATA]])</f>
        <v>1</v>
      </c>
    </row>
    <row r="290" spans="1:2" ht="19.5" customHeight="1" x14ac:dyDescent="0.25">
      <c r="A290" s="9"/>
      <c r="B290">
        <f>MONTH(TbSaida[[#This Row],[DATA]])</f>
        <v>1</v>
      </c>
    </row>
    <row r="291" spans="1:2" ht="19.5" customHeight="1" x14ac:dyDescent="0.25">
      <c r="A291" s="9"/>
      <c r="B291">
        <f>MONTH(TbSaida[[#This Row],[DATA]])</f>
        <v>1</v>
      </c>
    </row>
    <row r="292" spans="1:2" ht="19.5" customHeight="1" x14ac:dyDescent="0.25">
      <c r="A292" s="9"/>
      <c r="B292">
        <f>MONTH(TbSaida[[#This Row],[DATA]])</f>
        <v>1</v>
      </c>
    </row>
    <row r="293" spans="1:2" ht="19.5" customHeight="1" x14ac:dyDescent="0.25">
      <c r="A293" s="9"/>
      <c r="B293">
        <f>MONTH(TbSaida[[#This Row],[DATA]])</f>
        <v>1</v>
      </c>
    </row>
    <row r="294" spans="1:2" ht="19.5" customHeight="1" x14ac:dyDescent="0.25">
      <c r="A294" s="9"/>
      <c r="B294">
        <f>MONTH(TbSaida[[#This Row],[DATA]])</f>
        <v>1</v>
      </c>
    </row>
    <row r="295" spans="1:2" ht="19.5" customHeight="1" x14ac:dyDescent="0.25">
      <c r="A295" s="9"/>
      <c r="B295">
        <f>MONTH(TbSaida[[#This Row],[DATA]])</f>
        <v>1</v>
      </c>
    </row>
    <row r="296" spans="1:2" ht="19.5" customHeight="1" x14ac:dyDescent="0.25">
      <c r="A296" s="9"/>
      <c r="B296">
        <f>MONTH(TbSaida[[#This Row],[DATA]])</f>
        <v>1</v>
      </c>
    </row>
    <row r="297" spans="1:2" ht="19.5" customHeight="1" x14ac:dyDescent="0.25">
      <c r="A297" s="9"/>
      <c r="B297">
        <f>MONTH(TbSaida[[#This Row],[DATA]])</f>
        <v>1</v>
      </c>
    </row>
    <row r="298" spans="1:2" ht="19.5" customHeight="1" x14ac:dyDescent="0.25">
      <c r="A298" s="9"/>
      <c r="B298">
        <f>MONTH(TbSaida[[#This Row],[DATA]])</f>
        <v>1</v>
      </c>
    </row>
    <row r="299" spans="1:2" ht="19.5" customHeight="1" x14ac:dyDescent="0.25">
      <c r="A299" s="9"/>
      <c r="B299">
        <f>MONTH(TbSaida[[#This Row],[DATA]])</f>
        <v>1</v>
      </c>
    </row>
    <row r="300" spans="1:2" ht="19.5" customHeight="1" x14ac:dyDescent="0.25">
      <c r="A300" s="9"/>
      <c r="B300">
        <f>MONTH(TbSaida[[#This Row],[DATA]])</f>
        <v>1</v>
      </c>
    </row>
    <row r="301" spans="1:2" ht="19.5" customHeight="1" x14ac:dyDescent="0.25">
      <c r="A301" s="9"/>
      <c r="B301">
        <f>MONTH(TbSaida[[#This Row],[DATA]])</f>
        <v>1</v>
      </c>
    </row>
    <row r="302" spans="1:2" ht="19.5" customHeight="1" x14ac:dyDescent="0.25">
      <c r="A302" s="9"/>
      <c r="B302">
        <f>MONTH(TbSaida[[#This Row],[DATA]])</f>
        <v>1</v>
      </c>
    </row>
    <row r="303" spans="1:2" ht="19.5" customHeight="1" x14ac:dyDescent="0.25">
      <c r="A303" s="9"/>
      <c r="B303">
        <f>MONTH(TbSaida[[#This Row],[DATA]])</f>
        <v>1</v>
      </c>
    </row>
    <row r="304" spans="1:2" ht="19.5" customHeight="1" x14ac:dyDescent="0.25">
      <c r="A304" s="9"/>
      <c r="B304">
        <f>MONTH(TbSaida[[#This Row],[DATA]])</f>
        <v>1</v>
      </c>
    </row>
    <row r="305" spans="1:2" ht="19.5" customHeight="1" x14ac:dyDescent="0.25">
      <c r="A305" s="9"/>
      <c r="B305">
        <f>MONTH(TbSaida[[#This Row],[DATA]])</f>
        <v>1</v>
      </c>
    </row>
    <row r="306" spans="1:2" ht="19.5" customHeight="1" x14ac:dyDescent="0.25">
      <c r="A306" s="9"/>
      <c r="B306">
        <f>MONTH(TbSaida[[#This Row],[DATA]])</f>
        <v>1</v>
      </c>
    </row>
    <row r="307" spans="1:2" ht="19.5" customHeight="1" x14ac:dyDescent="0.25">
      <c r="A307" s="9"/>
      <c r="B307">
        <f>MONTH(TbSaida[[#This Row],[DATA]])</f>
        <v>1</v>
      </c>
    </row>
    <row r="308" spans="1:2" ht="19.5" customHeight="1" x14ac:dyDescent="0.25">
      <c r="A308" s="9"/>
      <c r="B308">
        <f>MONTH(TbSaida[[#This Row],[DATA]])</f>
        <v>1</v>
      </c>
    </row>
    <row r="309" spans="1:2" ht="19.5" customHeight="1" x14ac:dyDescent="0.25">
      <c r="A309" s="9"/>
      <c r="B309">
        <f>MONTH(TbSaida[[#This Row],[DATA]])</f>
        <v>1</v>
      </c>
    </row>
    <row r="310" spans="1:2" ht="19.5" customHeight="1" x14ac:dyDescent="0.25">
      <c r="A310" s="9"/>
      <c r="B310">
        <f>MONTH(TbSaida[[#This Row],[DATA]])</f>
        <v>1</v>
      </c>
    </row>
    <row r="311" spans="1:2" ht="19.5" customHeight="1" x14ac:dyDescent="0.25">
      <c r="A311" s="9"/>
      <c r="B311">
        <f>MONTH(TbSaida[[#This Row],[DATA]])</f>
        <v>1</v>
      </c>
    </row>
    <row r="312" spans="1:2" ht="19.5" customHeight="1" x14ac:dyDescent="0.25">
      <c r="A312" s="9"/>
      <c r="B312">
        <f>MONTH(TbSaida[[#This Row],[DATA]])</f>
        <v>1</v>
      </c>
    </row>
    <row r="313" spans="1:2" ht="19.5" customHeight="1" x14ac:dyDescent="0.25">
      <c r="A313" s="9"/>
      <c r="B313">
        <f>MONTH(TbSaida[[#This Row],[DATA]])</f>
        <v>1</v>
      </c>
    </row>
    <row r="314" spans="1:2" ht="19.5" customHeight="1" x14ac:dyDescent="0.25">
      <c r="A314" s="9"/>
      <c r="B314">
        <f>MONTH(TbSaida[[#This Row],[DATA]])</f>
        <v>1</v>
      </c>
    </row>
    <row r="315" spans="1:2" ht="19.5" customHeight="1" x14ac:dyDescent="0.25">
      <c r="A315" s="9"/>
      <c r="B315">
        <f>MONTH(TbSaida[[#This Row],[DATA]])</f>
        <v>1</v>
      </c>
    </row>
    <row r="316" spans="1:2" ht="19.5" customHeight="1" x14ac:dyDescent="0.25">
      <c r="A316" s="9"/>
      <c r="B316">
        <f>MONTH(TbSaida[[#This Row],[DATA]])</f>
        <v>1</v>
      </c>
    </row>
    <row r="317" spans="1:2" ht="19.5" customHeight="1" x14ac:dyDescent="0.25">
      <c r="A317" s="9"/>
      <c r="B317">
        <f>MONTH(TbSaida[[#This Row],[DATA]])</f>
        <v>1</v>
      </c>
    </row>
    <row r="318" spans="1:2" ht="19.5" customHeight="1" x14ac:dyDescent="0.25">
      <c r="A318" s="9"/>
      <c r="B318">
        <f>MONTH(TbSaida[[#This Row],[DATA]])</f>
        <v>1</v>
      </c>
    </row>
    <row r="319" spans="1:2" ht="19.5" customHeight="1" x14ac:dyDescent="0.25">
      <c r="A319" s="9"/>
      <c r="B319">
        <f>MONTH(TbSaida[[#This Row],[DATA]])</f>
        <v>1</v>
      </c>
    </row>
    <row r="320" spans="1:2" ht="19.5" customHeight="1" x14ac:dyDescent="0.25">
      <c r="A320" s="9"/>
      <c r="B320">
        <f>MONTH(TbSaida[[#This Row],[DATA]])</f>
        <v>1</v>
      </c>
    </row>
    <row r="321" spans="1:7" ht="19.5" customHeight="1" x14ac:dyDescent="0.25">
      <c r="A321" s="9"/>
      <c r="B321">
        <f>MONTH(TbSaida[[#This Row],[DATA]])</f>
        <v>1</v>
      </c>
    </row>
    <row r="322" spans="1:7" ht="19.5" customHeight="1" x14ac:dyDescent="0.25">
      <c r="A322" s="9"/>
      <c r="B322">
        <f>MONTH(TbSaida[[#This Row],[DATA]])</f>
        <v>1</v>
      </c>
    </row>
    <row r="323" spans="1:7" ht="19.5" customHeight="1" x14ac:dyDescent="0.25">
      <c r="A323" s="9"/>
      <c r="B323">
        <f>MONTH(TbSaida[[#This Row],[DATA]])</f>
        <v>1</v>
      </c>
    </row>
    <row r="324" spans="1:7" ht="19.5" customHeight="1" x14ac:dyDescent="0.25">
      <c r="A324" s="9"/>
      <c r="B324">
        <f>MONTH(TbSaida[[#This Row],[DATA]])</f>
        <v>1</v>
      </c>
    </row>
    <row r="325" spans="1:7" ht="19.5" customHeight="1" x14ac:dyDescent="0.25">
      <c r="A325" s="9"/>
      <c r="B325">
        <f>MONTH(TbSaida[[#This Row],[DATA]])</f>
        <v>1</v>
      </c>
      <c r="G325" s="1"/>
    </row>
    <row r="326" spans="1:7" ht="19.5" customHeight="1" x14ac:dyDescent="0.25">
      <c r="A326" s="9"/>
      <c r="B326">
        <f>MONTH(TbSaida[[#This Row],[DATA]])</f>
        <v>1</v>
      </c>
    </row>
    <row r="327" spans="1:7" ht="19.5" customHeight="1" x14ac:dyDescent="0.25">
      <c r="A327" s="9"/>
      <c r="B327">
        <f>MONTH(TbSaida[[#This Row],[DATA]])</f>
        <v>1</v>
      </c>
    </row>
    <row r="328" spans="1:7" ht="19.5" customHeight="1" x14ac:dyDescent="0.25">
      <c r="A328" s="9"/>
      <c r="B328">
        <f>MONTH(TbSaida[[#This Row],[DATA]])</f>
        <v>1</v>
      </c>
    </row>
    <row r="329" spans="1:7" ht="19.5" customHeight="1" x14ac:dyDescent="0.25">
      <c r="A329" s="9"/>
      <c r="B329">
        <f>MONTH(TbSaida[[#This Row],[DATA]])</f>
        <v>1</v>
      </c>
    </row>
    <row r="330" spans="1:7" ht="19.5" customHeight="1" x14ac:dyDescent="0.25">
      <c r="A330" s="9"/>
      <c r="B330">
        <f>MONTH(TbSaida[[#This Row],[DATA]])</f>
        <v>1</v>
      </c>
    </row>
    <row r="331" spans="1:7" ht="19.5" customHeight="1" x14ac:dyDescent="0.25">
      <c r="A331" s="9"/>
      <c r="B331">
        <f>MONTH(TbSaida[[#This Row],[DATA]])</f>
        <v>1</v>
      </c>
    </row>
    <row r="332" spans="1:7" ht="19.5" customHeight="1" x14ac:dyDescent="0.25">
      <c r="A332" s="9"/>
      <c r="B332">
        <f>MONTH(TbSaida[[#This Row],[DATA]])</f>
        <v>1</v>
      </c>
    </row>
    <row r="333" spans="1:7" ht="19.5" customHeight="1" x14ac:dyDescent="0.25">
      <c r="A333" s="9"/>
      <c r="B333">
        <f>MONTH(TbSaida[[#This Row],[DATA]])</f>
        <v>1</v>
      </c>
    </row>
    <row r="334" spans="1:7" ht="19.5" customHeight="1" x14ac:dyDescent="0.25">
      <c r="A334" s="9"/>
      <c r="B334">
        <f>MONTH(TbSaida[[#This Row],[DATA]])</f>
        <v>1</v>
      </c>
    </row>
    <row r="335" spans="1:7" ht="19.5" customHeight="1" x14ac:dyDescent="0.25">
      <c r="A335" s="9"/>
      <c r="B335">
        <f>MONTH(TbSaida[[#This Row],[DATA]])</f>
        <v>1</v>
      </c>
    </row>
    <row r="336" spans="1:7" ht="19.5" customHeight="1" x14ac:dyDescent="0.25">
      <c r="A336" s="9"/>
      <c r="B336">
        <f>MONTH(TbSaida[[#This Row],[DATA]])</f>
        <v>1</v>
      </c>
    </row>
    <row r="337" spans="1:2" ht="19.5" customHeight="1" x14ac:dyDescent="0.25">
      <c r="A337" s="9"/>
      <c r="B337">
        <f>MONTH(TbSaida[[#This Row],[DATA]])</f>
        <v>1</v>
      </c>
    </row>
    <row r="338" spans="1:2" ht="19.5" customHeight="1" x14ac:dyDescent="0.25">
      <c r="A338" s="9"/>
      <c r="B338">
        <f>MONTH(TbSaida[[#This Row],[DATA]])</f>
        <v>1</v>
      </c>
    </row>
    <row r="339" spans="1:2" ht="19.5" customHeight="1" x14ac:dyDescent="0.25">
      <c r="A339" s="9"/>
      <c r="B339">
        <f>MONTH(TbSaida[[#This Row],[DATA]])</f>
        <v>1</v>
      </c>
    </row>
    <row r="340" spans="1:2" ht="19.5" customHeight="1" x14ac:dyDescent="0.25">
      <c r="A340" s="9"/>
      <c r="B340">
        <f>MONTH(TbSaida[[#This Row],[DATA]])</f>
        <v>1</v>
      </c>
    </row>
    <row r="341" spans="1:2" ht="19.5" customHeight="1" x14ac:dyDescent="0.25">
      <c r="A341" s="9"/>
      <c r="B341">
        <f>MONTH(TbSaida[[#This Row],[DATA]])</f>
        <v>1</v>
      </c>
    </row>
    <row r="342" spans="1:2" ht="19.5" customHeight="1" x14ac:dyDescent="0.25">
      <c r="A342" s="9"/>
      <c r="B342">
        <f>MONTH(TbSaida[[#This Row],[DATA]])</f>
        <v>1</v>
      </c>
    </row>
    <row r="343" spans="1:2" ht="19.5" customHeight="1" x14ac:dyDescent="0.25">
      <c r="A343" s="9"/>
      <c r="B343">
        <f>MONTH(TbSaida[[#This Row],[DATA]])</f>
        <v>1</v>
      </c>
    </row>
    <row r="344" spans="1:2" ht="19.5" customHeight="1" x14ac:dyDescent="0.25">
      <c r="A344" s="9"/>
      <c r="B344">
        <f>MONTH(TbSaida[[#This Row],[DATA]])</f>
        <v>1</v>
      </c>
    </row>
    <row r="345" spans="1:2" ht="19.5" customHeight="1" x14ac:dyDescent="0.25">
      <c r="A345" s="9"/>
      <c r="B345">
        <f>MONTH(TbSaida[[#This Row],[DATA]])</f>
        <v>1</v>
      </c>
    </row>
    <row r="346" spans="1:2" ht="19.5" customHeight="1" x14ac:dyDescent="0.25">
      <c r="A346" s="9"/>
      <c r="B346">
        <f>MONTH(TbSaida[[#This Row],[DATA]])</f>
        <v>1</v>
      </c>
    </row>
    <row r="347" spans="1:2" ht="19.5" customHeight="1" x14ac:dyDescent="0.25">
      <c r="A347" s="9"/>
      <c r="B347">
        <f>MONTH(TbSaida[[#This Row],[DATA]])</f>
        <v>1</v>
      </c>
    </row>
    <row r="348" spans="1:2" ht="19.5" customHeight="1" x14ac:dyDescent="0.25">
      <c r="A348" s="9"/>
      <c r="B348">
        <f>MONTH(TbSaida[[#This Row],[DATA]])</f>
        <v>1</v>
      </c>
    </row>
    <row r="349" spans="1:2" ht="19.5" customHeight="1" x14ac:dyDescent="0.25">
      <c r="A349" s="9"/>
      <c r="B349">
        <f>MONTH(TbSaida[[#This Row],[DATA]])</f>
        <v>1</v>
      </c>
    </row>
    <row r="350" spans="1:2" ht="19.5" customHeight="1" x14ac:dyDescent="0.25">
      <c r="A350" s="9"/>
      <c r="B350">
        <f>MONTH(TbSaida[[#This Row],[DATA]])</f>
        <v>1</v>
      </c>
    </row>
    <row r="351" spans="1:2" ht="19.5" customHeight="1" x14ac:dyDescent="0.25">
      <c r="A351" s="9"/>
      <c r="B351">
        <f>MONTH(TbSaida[[#This Row],[DATA]])</f>
        <v>1</v>
      </c>
    </row>
    <row r="352" spans="1:2" ht="19.5" customHeight="1" x14ac:dyDescent="0.25">
      <c r="A352" s="9"/>
      <c r="B352">
        <f>MONTH(TbSaida[[#This Row],[DATA]])</f>
        <v>1</v>
      </c>
    </row>
    <row r="353" spans="1:2" ht="19.5" customHeight="1" x14ac:dyDescent="0.25">
      <c r="A353" s="9"/>
      <c r="B353">
        <f>MONTH(TbSaida[[#This Row],[DATA]])</f>
        <v>1</v>
      </c>
    </row>
    <row r="354" spans="1:2" ht="19.5" customHeight="1" x14ac:dyDescent="0.25">
      <c r="A354" s="9"/>
      <c r="B354">
        <f>MONTH(TbSaida[[#This Row],[DATA]])</f>
        <v>1</v>
      </c>
    </row>
    <row r="355" spans="1:2" ht="19.5" customHeight="1" x14ac:dyDescent="0.25">
      <c r="A355" s="9"/>
      <c r="B355">
        <f>MONTH(TbSaida[[#This Row],[DATA]])</f>
        <v>1</v>
      </c>
    </row>
    <row r="356" spans="1:2" ht="19.5" customHeight="1" x14ac:dyDescent="0.25">
      <c r="A356" s="9"/>
      <c r="B356">
        <f>MONTH(TbSaida[[#This Row],[DATA]])</f>
        <v>1</v>
      </c>
    </row>
    <row r="357" spans="1:2" ht="19.5" customHeight="1" x14ac:dyDescent="0.25">
      <c r="A357" s="9"/>
      <c r="B357">
        <f>MONTH(TbSaida[[#This Row],[DATA]])</f>
        <v>1</v>
      </c>
    </row>
    <row r="358" spans="1:2" ht="19.5" customHeight="1" x14ac:dyDescent="0.25">
      <c r="A358" s="9"/>
      <c r="B358">
        <f>MONTH(TbSaida[[#This Row],[DATA]])</f>
        <v>1</v>
      </c>
    </row>
    <row r="359" spans="1:2" ht="19.5" customHeight="1" x14ac:dyDescent="0.25">
      <c r="A359" s="9"/>
      <c r="B359">
        <f>MONTH(TbSaida[[#This Row],[DATA]])</f>
        <v>1</v>
      </c>
    </row>
    <row r="360" spans="1:2" ht="19.5" customHeight="1" x14ac:dyDescent="0.25">
      <c r="A360" s="9"/>
      <c r="B360">
        <f>MONTH(TbSaida[[#This Row],[DATA]])</f>
        <v>1</v>
      </c>
    </row>
    <row r="361" spans="1:2" ht="19.5" customHeight="1" x14ac:dyDescent="0.25">
      <c r="A361" s="9"/>
      <c r="B361">
        <f>MONTH(TbSaida[[#This Row],[DATA]])</f>
        <v>1</v>
      </c>
    </row>
    <row r="362" spans="1:2" ht="19.5" customHeight="1" x14ac:dyDescent="0.25">
      <c r="A362" s="9"/>
      <c r="B362">
        <f>MONTH(TbSaida[[#This Row],[DATA]])</f>
        <v>1</v>
      </c>
    </row>
    <row r="363" spans="1:2" ht="19.5" customHeight="1" x14ac:dyDescent="0.25">
      <c r="A363" s="9"/>
      <c r="B363">
        <f>MONTH(TbSaida[[#This Row],[DATA]])</f>
        <v>1</v>
      </c>
    </row>
    <row r="364" spans="1:2" ht="19.5" customHeight="1" x14ac:dyDescent="0.25">
      <c r="A364" s="9"/>
      <c r="B364">
        <f>MONTH(TbSaida[[#This Row],[DATA]])</f>
        <v>1</v>
      </c>
    </row>
    <row r="365" spans="1:2" ht="19.5" customHeight="1" x14ac:dyDescent="0.25">
      <c r="A365" s="9"/>
      <c r="B365">
        <f>MONTH(TbSaida[[#This Row],[DATA]])</f>
        <v>1</v>
      </c>
    </row>
    <row r="366" spans="1:2" ht="19.5" customHeight="1" x14ac:dyDescent="0.25">
      <c r="A366" s="9"/>
      <c r="B366">
        <f>MONTH(TbSaida[[#This Row],[DATA]])</f>
        <v>1</v>
      </c>
    </row>
    <row r="367" spans="1:2" ht="19.5" customHeight="1" x14ac:dyDescent="0.25">
      <c r="A367" s="9"/>
      <c r="B367">
        <f>MONTH(TbSaida[[#This Row],[DATA]])</f>
        <v>1</v>
      </c>
    </row>
    <row r="368" spans="1:2" ht="19.5" customHeight="1" x14ac:dyDescent="0.25">
      <c r="A368" s="9"/>
      <c r="B368">
        <f>MONTH(TbSaida[[#This Row],[DATA]])</f>
        <v>1</v>
      </c>
    </row>
    <row r="369" spans="1:2" ht="19.5" customHeight="1" x14ac:dyDescent="0.25">
      <c r="A369" s="9"/>
      <c r="B369">
        <f>MONTH(TbSaida[[#This Row],[DATA]])</f>
        <v>1</v>
      </c>
    </row>
    <row r="370" spans="1:2" ht="19.5" customHeight="1" x14ac:dyDescent="0.25">
      <c r="A370" s="9"/>
      <c r="B370">
        <f>MONTH(TbSaida[[#This Row],[DATA]])</f>
        <v>1</v>
      </c>
    </row>
    <row r="371" spans="1:2" ht="19.5" customHeight="1" x14ac:dyDescent="0.25">
      <c r="A371" s="9"/>
      <c r="B371">
        <f>MONTH(TbSaida[[#This Row],[DATA]])</f>
        <v>1</v>
      </c>
    </row>
    <row r="372" spans="1:2" ht="19.5" customHeight="1" x14ac:dyDescent="0.25">
      <c r="A372" s="9"/>
      <c r="B372">
        <f>MONTH(TbSaida[[#This Row],[DATA]])</f>
        <v>1</v>
      </c>
    </row>
    <row r="373" spans="1:2" ht="19.5" customHeight="1" x14ac:dyDescent="0.25">
      <c r="A373" s="9"/>
      <c r="B373">
        <f>MONTH(TbSaida[[#This Row],[DATA]])</f>
        <v>1</v>
      </c>
    </row>
    <row r="374" spans="1:2" ht="19.5" customHeight="1" x14ac:dyDescent="0.25">
      <c r="A374" s="9"/>
      <c r="B374">
        <f>MONTH(TbSaida[[#This Row],[DATA]])</f>
        <v>1</v>
      </c>
    </row>
    <row r="375" spans="1:2" ht="19.5" customHeight="1" x14ac:dyDescent="0.25">
      <c r="A375" s="9"/>
      <c r="B375">
        <f>MONTH(TbSaida[[#This Row],[DATA]])</f>
        <v>1</v>
      </c>
    </row>
    <row r="376" spans="1:2" ht="19.5" customHeight="1" x14ac:dyDescent="0.25">
      <c r="A376" s="9"/>
      <c r="B376">
        <f>MONTH(TbSaida[[#This Row],[DATA]])</f>
        <v>1</v>
      </c>
    </row>
    <row r="377" spans="1:2" ht="19.5" customHeight="1" x14ac:dyDescent="0.25">
      <c r="A377" s="9"/>
      <c r="B377">
        <f>MONTH(TbSaida[[#This Row],[DATA]])</f>
        <v>1</v>
      </c>
    </row>
    <row r="378" spans="1:2" ht="19.5" customHeight="1" x14ac:dyDescent="0.25">
      <c r="A378" s="9"/>
      <c r="B378">
        <f>MONTH(TbSaida[[#This Row],[DATA]])</f>
        <v>1</v>
      </c>
    </row>
    <row r="379" spans="1:2" ht="19.5" customHeight="1" x14ac:dyDescent="0.25">
      <c r="A379" s="9"/>
      <c r="B379">
        <f>MONTH(TbSaida[[#This Row],[DATA]])</f>
        <v>1</v>
      </c>
    </row>
    <row r="380" spans="1:2" ht="19.5" customHeight="1" x14ac:dyDescent="0.25">
      <c r="A380" s="9"/>
      <c r="B380">
        <f>MONTH(TbSaida[[#This Row],[DATA]])</f>
        <v>1</v>
      </c>
    </row>
    <row r="381" spans="1:2" ht="19.5" customHeight="1" x14ac:dyDescent="0.25">
      <c r="A381" s="9"/>
      <c r="B381">
        <f>MONTH(TbSaida[[#This Row],[DATA]])</f>
        <v>1</v>
      </c>
    </row>
    <row r="382" spans="1:2" ht="19.5" customHeight="1" x14ac:dyDescent="0.25">
      <c r="A382" s="9"/>
      <c r="B382">
        <f>MONTH(TbSaida[[#This Row],[DATA]])</f>
        <v>1</v>
      </c>
    </row>
    <row r="383" spans="1:2" ht="19.5" customHeight="1" x14ac:dyDescent="0.25">
      <c r="A383" s="9"/>
      <c r="B383">
        <f>MONTH(TbSaida[[#This Row],[DATA]])</f>
        <v>1</v>
      </c>
    </row>
    <row r="384" spans="1:2" ht="19.5" customHeight="1" x14ac:dyDescent="0.25">
      <c r="A384" s="9"/>
      <c r="B384">
        <f>MONTH(TbSaida[[#This Row],[DATA]])</f>
        <v>1</v>
      </c>
    </row>
    <row r="385" spans="1:2" ht="19.5" customHeight="1" x14ac:dyDescent="0.25">
      <c r="A385" s="9"/>
      <c r="B385">
        <f>MONTH(TbSaida[[#This Row],[DATA]])</f>
        <v>1</v>
      </c>
    </row>
    <row r="386" spans="1:2" ht="19.5" customHeight="1" x14ac:dyDescent="0.25">
      <c r="A386" s="9"/>
      <c r="B386">
        <f>MONTH(TbSaida[[#This Row],[DATA]])</f>
        <v>1</v>
      </c>
    </row>
    <row r="387" spans="1:2" ht="19.5" customHeight="1" x14ac:dyDescent="0.25">
      <c r="A387" s="9"/>
      <c r="B387">
        <f>MONTH(TbSaida[[#This Row],[DATA]])</f>
        <v>1</v>
      </c>
    </row>
    <row r="388" spans="1:2" ht="19.5" customHeight="1" x14ac:dyDescent="0.25">
      <c r="A388" s="9"/>
      <c r="B388">
        <f>MONTH(TbSaida[[#This Row],[DATA]])</f>
        <v>1</v>
      </c>
    </row>
    <row r="389" spans="1:2" ht="19.5" customHeight="1" x14ac:dyDescent="0.25">
      <c r="A389" s="9"/>
      <c r="B389">
        <f>MONTH(TbSaida[[#This Row],[DATA]])</f>
        <v>1</v>
      </c>
    </row>
    <row r="390" spans="1:2" ht="19.5" customHeight="1" x14ac:dyDescent="0.25">
      <c r="A390" s="9"/>
      <c r="B390">
        <f>MONTH(TbSaida[[#This Row],[DATA]])</f>
        <v>1</v>
      </c>
    </row>
    <row r="391" spans="1:2" ht="19.5" customHeight="1" x14ac:dyDescent="0.25">
      <c r="A391" s="9"/>
      <c r="B391">
        <f>MONTH(TbSaida[[#This Row],[DATA]])</f>
        <v>1</v>
      </c>
    </row>
    <row r="392" spans="1:2" ht="19.5" customHeight="1" x14ac:dyDescent="0.25">
      <c r="A392" s="9"/>
      <c r="B392">
        <f>MONTH(TbSaida[[#This Row],[DATA]])</f>
        <v>1</v>
      </c>
    </row>
    <row r="393" spans="1:2" ht="19.5" customHeight="1" x14ac:dyDescent="0.25">
      <c r="A393" s="9"/>
      <c r="B393">
        <f>MONTH(TbSaida[[#This Row],[DATA]])</f>
        <v>1</v>
      </c>
    </row>
    <row r="394" spans="1:2" ht="19.5" customHeight="1" x14ac:dyDescent="0.25">
      <c r="A394" s="9"/>
      <c r="B394">
        <f>MONTH(TbSaida[[#This Row],[DATA]])</f>
        <v>1</v>
      </c>
    </row>
    <row r="395" spans="1:2" ht="19.5" customHeight="1" x14ac:dyDescent="0.25">
      <c r="A395" s="9"/>
      <c r="B395">
        <f>MONTH(TbSaida[[#This Row],[DATA]])</f>
        <v>1</v>
      </c>
    </row>
    <row r="396" spans="1:2" ht="19.5" customHeight="1" x14ac:dyDescent="0.25">
      <c r="A396" s="9"/>
      <c r="B396">
        <f>MONTH(TbSaida[[#This Row],[DATA]])</f>
        <v>1</v>
      </c>
    </row>
    <row r="397" spans="1:2" ht="19.5" customHeight="1" x14ac:dyDescent="0.25">
      <c r="A397" s="9"/>
      <c r="B397">
        <f>MONTH(TbSaida[[#This Row],[DATA]])</f>
        <v>1</v>
      </c>
    </row>
    <row r="398" spans="1:2" ht="19.5" customHeight="1" x14ac:dyDescent="0.25">
      <c r="A398" s="9"/>
      <c r="B398">
        <f>MONTH(TbSaida[[#This Row],[DATA]])</f>
        <v>1</v>
      </c>
    </row>
    <row r="399" spans="1:2" ht="19.5" customHeight="1" x14ac:dyDescent="0.25">
      <c r="A399" s="9"/>
      <c r="B399">
        <f>MONTH(TbSaida[[#This Row],[DATA]])</f>
        <v>1</v>
      </c>
    </row>
    <row r="400" spans="1:2" ht="19.5" customHeight="1" x14ac:dyDescent="0.25">
      <c r="A400" s="9"/>
      <c r="B400">
        <f>MONTH(TbSaida[[#This Row],[DATA]])</f>
        <v>1</v>
      </c>
    </row>
    <row r="401" spans="1:2" ht="19.5" customHeight="1" x14ac:dyDescent="0.25">
      <c r="A401" s="9"/>
      <c r="B401">
        <f>MONTH(TbSaida[[#This Row],[DATA]])</f>
        <v>1</v>
      </c>
    </row>
    <row r="402" spans="1:2" ht="19.5" customHeight="1" x14ac:dyDescent="0.25">
      <c r="A402" s="9"/>
      <c r="B402">
        <f>MONTH(TbSaida[[#This Row],[DATA]])</f>
        <v>1</v>
      </c>
    </row>
    <row r="403" spans="1:2" ht="19.5" customHeight="1" x14ac:dyDescent="0.25">
      <c r="A403" s="9"/>
      <c r="B403">
        <f>MONTH(TbSaida[[#This Row],[DATA]])</f>
        <v>1</v>
      </c>
    </row>
    <row r="404" spans="1:2" ht="19.5" customHeight="1" x14ac:dyDescent="0.25">
      <c r="A404" s="9"/>
      <c r="B404">
        <f>MONTH(TbSaida[[#This Row],[DATA]])</f>
        <v>1</v>
      </c>
    </row>
    <row r="405" spans="1:2" ht="19.5" customHeight="1" x14ac:dyDescent="0.25">
      <c r="A405" s="9"/>
      <c r="B405">
        <f>MONTH(TbSaida[[#This Row],[DATA]])</f>
        <v>1</v>
      </c>
    </row>
    <row r="406" spans="1:2" ht="19.5" customHeight="1" x14ac:dyDescent="0.25">
      <c r="A406" s="9"/>
      <c r="B406">
        <f>MONTH(TbSaida[[#This Row],[DATA]])</f>
        <v>1</v>
      </c>
    </row>
    <row r="407" spans="1:2" ht="19.5" customHeight="1" x14ac:dyDescent="0.25">
      <c r="A407" s="9"/>
      <c r="B407">
        <f>MONTH(TbSaida[[#This Row],[DATA]])</f>
        <v>1</v>
      </c>
    </row>
    <row r="408" spans="1:2" ht="19.5" customHeight="1" x14ac:dyDescent="0.25">
      <c r="A408" s="9"/>
      <c r="B408">
        <f>MONTH(TbSaida[[#This Row],[DATA]])</f>
        <v>1</v>
      </c>
    </row>
    <row r="409" spans="1:2" ht="19.5" customHeight="1" x14ac:dyDescent="0.25">
      <c r="A409" s="9"/>
      <c r="B409">
        <f>MONTH(TbSaida[[#This Row],[DATA]])</f>
        <v>1</v>
      </c>
    </row>
    <row r="410" spans="1:2" ht="19.5" customHeight="1" x14ac:dyDescent="0.25">
      <c r="A410" s="9"/>
      <c r="B410">
        <f>MONTH(TbSaida[[#This Row],[DATA]])</f>
        <v>1</v>
      </c>
    </row>
    <row r="411" spans="1:2" ht="19.5" customHeight="1" x14ac:dyDescent="0.25">
      <c r="A411" s="9"/>
      <c r="B411">
        <f>MONTH(TbSaida[[#This Row],[DATA]])</f>
        <v>1</v>
      </c>
    </row>
    <row r="412" spans="1:2" ht="19.5" customHeight="1" x14ac:dyDescent="0.25">
      <c r="A412" s="9"/>
      <c r="B412">
        <f>MONTH(TbSaida[[#This Row],[DATA]])</f>
        <v>1</v>
      </c>
    </row>
    <row r="413" spans="1:2" ht="19.5" customHeight="1" x14ac:dyDescent="0.25">
      <c r="A413" s="9"/>
      <c r="B413">
        <f>MONTH(TbSaida[[#This Row],[DATA]])</f>
        <v>1</v>
      </c>
    </row>
    <row r="414" spans="1:2" ht="19.5" customHeight="1" x14ac:dyDescent="0.25">
      <c r="A414" s="9"/>
      <c r="B414">
        <f>MONTH(TbSaida[[#This Row],[DATA]])</f>
        <v>1</v>
      </c>
    </row>
    <row r="415" spans="1:2" ht="19.5" customHeight="1" x14ac:dyDescent="0.25">
      <c r="A415" s="9"/>
      <c r="B415">
        <f>MONTH(TbSaida[[#This Row],[DATA]])</f>
        <v>1</v>
      </c>
    </row>
    <row r="416" spans="1:2" ht="19.5" customHeight="1" x14ac:dyDescent="0.25">
      <c r="A416" s="9"/>
      <c r="B416">
        <f>MONTH(TbSaida[[#This Row],[DATA]])</f>
        <v>1</v>
      </c>
    </row>
    <row r="417" spans="1:2" ht="19.5" customHeight="1" x14ac:dyDescent="0.25">
      <c r="A417" s="9"/>
      <c r="B417">
        <f>MONTH(TbSaida[[#This Row],[DATA]])</f>
        <v>1</v>
      </c>
    </row>
    <row r="418" spans="1:2" ht="19.5" customHeight="1" x14ac:dyDescent="0.25">
      <c r="A418" s="9"/>
      <c r="B418">
        <f>MONTH(TbSaida[[#This Row],[DATA]])</f>
        <v>1</v>
      </c>
    </row>
    <row r="419" spans="1:2" ht="19.5" customHeight="1" x14ac:dyDescent="0.25">
      <c r="A419" s="9"/>
      <c r="B419">
        <f>MONTH(TbSaida[[#This Row],[DATA]])</f>
        <v>1</v>
      </c>
    </row>
    <row r="420" spans="1:2" ht="19.5" customHeight="1" x14ac:dyDescent="0.25">
      <c r="A420" s="9"/>
      <c r="B420">
        <f>MONTH(TbSaida[[#This Row],[DATA]])</f>
        <v>1</v>
      </c>
    </row>
    <row r="421" spans="1:2" ht="19.5" customHeight="1" x14ac:dyDescent="0.25">
      <c r="A421" s="9"/>
      <c r="B421">
        <f>MONTH(TbSaida[[#This Row],[DATA]])</f>
        <v>1</v>
      </c>
    </row>
    <row r="422" spans="1:2" ht="19.5" customHeight="1" x14ac:dyDescent="0.25">
      <c r="A422" s="9"/>
      <c r="B422">
        <f>MONTH(TbSaida[[#This Row],[DATA]])</f>
        <v>1</v>
      </c>
    </row>
    <row r="423" spans="1:2" ht="19.5" customHeight="1" x14ac:dyDescent="0.25">
      <c r="A423" s="9"/>
      <c r="B423">
        <f>MONTH(TbSaida[[#This Row],[DATA]])</f>
        <v>1</v>
      </c>
    </row>
    <row r="424" spans="1:2" ht="19.5" customHeight="1" x14ac:dyDescent="0.25">
      <c r="A424" s="9"/>
      <c r="B424">
        <f>MONTH(TbSaida[[#This Row],[DATA]])</f>
        <v>1</v>
      </c>
    </row>
    <row r="425" spans="1:2" ht="19.5" customHeight="1" x14ac:dyDescent="0.25">
      <c r="A425" s="9"/>
      <c r="B425">
        <f>MONTH(TbSaida[[#This Row],[DATA]])</f>
        <v>1</v>
      </c>
    </row>
    <row r="426" spans="1:2" ht="19.5" customHeight="1" x14ac:dyDescent="0.25">
      <c r="A426" s="9"/>
      <c r="B426">
        <f>MONTH(TbSaida[[#This Row],[DATA]])</f>
        <v>1</v>
      </c>
    </row>
    <row r="427" spans="1:2" ht="19.5" customHeight="1" x14ac:dyDescent="0.25">
      <c r="A427" s="9"/>
      <c r="B427">
        <f>MONTH(TbSaida[[#This Row],[DATA]])</f>
        <v>1</v>
      </c>
    </row>
    <row r="428" spans="1:2" ht="19.5" customHeight="1" x14ac:dyDescent="0.25">
      <c r="A428" s="9"/>
      <c r="B428">
        <f>MONTH(TbSaida[[#This Row],[DATA]])</f>
        <v>1</v>
      </c>
    </row>
    <row r="429" spans="1:2" ht="19.5" customHeight="1" x14ac:dyDescent="0.25">
      <c r="A429" s="9"/>
      <c r="B429">
        <f>MONTH(TbSaida[[#This Row],[DATA]])</f>
        <v>1</v>
      </c>
    </row>
    <row r="430" spans="1:2" ht="19.5" customHeight="1" x14ac:dyDescent="0.25">
      <c r="A430" s="9"/>
      <c r="B430">
        <f>MONTH(TbSaida[[#This Row],[DATA]])</f>
        <v>1</v>
      </c>
    </row>
    <row r="431" spans="1:2" ht="19.5" customHeight="1" x14ac:dyDescent="0.25">
      <c r="A431" s="9"/>
      <c r="B431">
        <f>MONTH(TbSaida[[#This Row],[DATA]])</f>
        <v>1</v>
      </c>
    </row>
    <row r="432" spans="1:2" ht="19.5" customHeight="1" x14ac:dyDescent="0.25">
      <c r="A432" s="9"/>
      <c r="B432">
        <f>MONTH(TbSaida[[#This Row],[DATA]])</f>
        <v>1</v>
      </c>
    </row>
    <row r="433" spans="1:2" ht="19.5" customHeight="1" x14ac:dyDescent="0.25">
      <c r="A433" s="9"/>
      <c r="B433">
        <f>MONTH(TbSaida[[#This Row],[DATA]])</f>
        <v>1</v>
      </c>
    </row>
    <row r="434" spans="1:2" ht="19.5" customHeight="1" x14ac:dyDescent="0.25">
      <c r="A434" s="9"/>
      <c r="B434">
        <f>MONTH(TbSaida[[#This Row],[DATA]])</f>
        <v>1</v>
      </c>
    </row>
    <row r="435" spans="1:2" ht="19.5" customHeight="1" x14ac:dyDescent="0.25">
      <c r="A435" s="9"/>
      <c r="B435">
        <f>MONTH(TbSaida[[#This Row],[DATA]])</f>
        <v>1</v>
      </c>
    </row>
    <row r="436" spans="1:2" ht="19.5" customHeight="1" x14ac:dyDescent="0.25">
      <c r="A436" s="9"/>
      <c r="B436">
        <f>MONTH(TbSaida[[#This Row],[DATA]])</f>
        <v>1</v>
      </c>
    </row>
    <row r="437" spans="1:2" ht="19.5" customHeight="1" x14ac:dyDescent="0.25">
      <c r="A437" s="9"/>
      <c r="B437">
        <f>MONTH(TbSaida[[#This Row],[DATA]])</f>
        <v>1</v>
      </c>
    </row>
    <row r="438" spans="1:2" ht="19.5" customHeight="1" x14ac:dyDescent="0.25">
      <c r="A438" s="9"/>
      <c r="B438">
        <f>MONTH(TbSaida[[#This Row],[DATA]])</f>
        <v>1</v>
      </c>
    </row>
    <row r="439" spans="1:2" ht="19.5" customHeight="1" x14ac:dyDescent="0.25">
      <c r="A439" s="9"/>
      <c r="B439">
        <f>MONTH(TbSaida[[#This Row],[DATA]])</f>
        <v>1</v>
      </c>
    </row>
    <row r="440" spans="1:2" ht="19.5" customHeight="1" x14ac:dyDescent="0.25">
      <c r="A440" s="9"/>
      <c r="B440">
        <f>MONTH(TbSaida[[#This Row],[DATA]])</f>
        <v>1</v>
      </c>
    </row>
    <row r="441" spans="1:2" ht="19.5" customHeight="1" x14ac:dyDescent="0.25">
      <c r="A441" s="9"/>
      <c r="B441">
        <f>MONTH(TbSaida[[#This Row],[DATA]])</f>
        <v>1</v>
      </c>
    </row>
    <row r="442" spans="1:2" ht="19.5" customHeight="1" x14ac:dyDescent="0.25">
      <c r="A442" s="9"/>
      <c r="B442">
        <f>MONTH(TbSaida[[#This Row],[DATA]])</f>
        <v>1</v>
      </c>
    </row>
    <row r="443" spans="1:2" ht="19.5" customHeight="1" x14ac:dyDescent="0.25">
      <c r="A443" s="9"/>
      <c r="B443">
        <f>MONTH(TbSaida[[#This Row],[DATA]])</f>
        <v>1</v>
      </c>
    </row>
    <row r="444" spans="1:2" ht="19.5" customHeight="1" x14ac:dyDescent="0.25">
      <c r="A444" s="9"/>
      <c r="B444">
        <f>MONTH(TbSaida[[#This Row],[DATA]])</f>
        <v>1</v>
      </c>
    </row>
    <row r="445" spans="1:2" ht="19.5" customHeight="1" x14ac:dyDescent="0.25">
      <c r="A445" s="9"/>
      <c r="B445">
        <f>MONTH(TbSaida[[#This Row],[DATA]])</f>
        <v>1</v>
      </c>
    </row>
    <row r="446" spans="1:2" ht="19.5" customHeight="1" x14ac:dyDescent="0.25">
      <c r="A446" s="9"/>
      <c r="B446">
        <f>MONTH(TbSaida[[#This Row],[DATA]])</f>
        <v>1</v>
      </c>
    </row>
    <row r="447" spans="1:2" ht="19.5" customHeight="1" x14ac:dyDescent="0.25">
      <c r="A447" s="9"/>
      <c r="B447">
        <f>MONTH(TbSaida[[#This Row],[DATA]])</f>
        <v>1</v>
      </c>
    </row>
    <row r="448" spans="1:2" ht="19.5" customHeight="1" x14ac:dyDescent="0.25">
      <c r="A448" s="9"/>
      <c r="B448">
        <f>MONTH(TbSaida[[#This Row],[DATA]])</f>
        <v>1</v>
      </c>
    </row>
    <row r="449" spans="1:2" ht="19.5" customHeight="1" x14ac:dyDescent="0.25">
      <c r="A449" s="9"/>
      <c r="B449">
        <f>MONTH(TbSaida[[#This Row],[DATA]])</f>
        <v>1</v>
      </c>
    </row>
    <row r="450" spans="1:2" ht="19.5" customHeight="1" x14ac:dyDescent="0.25">
      <c r="A450" s="9"/>
      <c r="B450">
        <f>MONTH(TbSaida[[#This Row],[DATA]])</f>
        <v>1</v>
      </c>
    </row>
    <row r="451" spans="1:2" ht="19.5" customHeight="1" x14ac:dyDescent="0.25">
      <c r="A451" s="9"/>
      <c r="B451">
        <f>MONTH(TbSaida[[#This Row],[DATA]])</f>
        <v>1</v>
      </c>
    </row>
    <row r="452" spans="1:2" ht="19.5" customHeight="1" x14ac:dyDescent="0.25">
      <c r="A452" s="9"/>
      <c r="B452">
        <f>MONTH(TbSaida[[#This Row],[DATA]])</f>
        <v>1</v>
      </c>
    </row>
    <row r="453" spans="1:2" ht="19.5" customHeight="1" x14ac:dyDescent="0.25">
      <c r="A453" s="9"/>
      <c r="B453">
        <f>MONTH(TbSaida[[#This Row],[DATA]])</f>
        <v>1</v>
      </c>
    </row>
    <row r="454" spans="1:2" ht="19.5" customHeight="1" x14ac:dyDescent="0.25">
      <c r="A454" s="9"/>
      <c r="B454">
        <f>MONTH(TbSaida[[#This Row],[DATA]])</f>
        <v>1</v>
      </c>
    </row>
    <row r="455" spans="1:2" ht="19.5" customHeight="1" x14ac:dyDescent="0.25">
      <c r="A455" s="9"/>
      <c r="B455">
        <f>MONTH(TbSaida[[#This Row],[DATA]])</f>
        <v>1</v>
      </c>
    </row>
    <row r="456" spans="1:2" ht="19.5" customHeight="1" x14ac:dyDescent="0.25">
      <c r="A456" s="9"/>
      <c r="B456">
        <f>MONTH(TbSaida[[#This Row],[DATA]])</f>
        <v>1</v>
      </c>
    </row>
    <row r="457" spans="1:2" ht="19.5" customHeight="1" x14ac:dyDescent="0.25">
      <c r="A457" s="9"/>
      <c r="B457">
        <f>MONTH(TbSaida[[#This Row],[DATA]])</f>
        <v>1</v>
      </c>
    </row>
    <row r="458" spans="1:2" ht="19.5" customHeight="1" x14ac:dyDescent="0.25">
      <c r="A458" s="9"/>
      <c r="B458">
        <f>MONTH(TbSaida[[#This Row],[DATA]])</f>
        <v>1</v>
      </c>
    </row>
    <row r="459" spans="1:2" ht="19.5" customHeight="1" x14ac:dyDescent="0.25">
      <c r="A459" s="9"/>
      <c r="B459">
        <f>MONTH(TbSaida[[#This Row],[DATA]])</f>
        <v>1</v>
      </c>
    </row>
    <row r="460" spans="1:2" ht="19.5" customHeight="1" x14ac:dyDescent="0.25">
      <c r="A460" s="9"/>
      <c r="B460">
        <f>MONTH(TbSaida[[#This Row],[DATA]])</f>
        <v>1</v>
      </c>
    </row>
    <row r="461" spans="1:2" ht="19.5" customHeight="1" x14ac:dyDescent="0.25">
      <c r="A461" s="9"/>
      <c r="B461">
        <f>MONTH(TbSaida[[#This Row],[DATA]])</f>
        <v>1</v>
      </c>
    </row>
    <row r="462" spans="1:2" ht="19.5" customHeight="1" x14ac:dyDescent="0.25">
      <c r="A462" s="9"/>
      <c r="B462">
        <f>MONTH(TbSaida[[#This Row],[DATA]])</f>
        <v>1</v>
      </c>
    </row>
    <row r="463" spans="1:2" ht="19.5" customHeight="1" x14ac:dyDescent="0.25">
      <c r="A463" s="9"/>
      <c r="B463">
        <f>MONTH(TbSaida[[#This Row],[DATA]])</f>
        <v>1</v>
      </c>
    </row>
    <row r="464" spans="1:2" ht="19.5" customHeight="1" x14ac:dyDescent="0.25">
      <c r="A464" s="9"/>
      <c r="B464">
        <f>MONTH(TbSaida[[#This Row],[DATA]])</f>
        <v>1</v>
      </c>
    </row>
    <row r="465" spans="1:5" ht="19.5" customHeight="1" x14ac:dyDescent="0.25">
      <c r="A465" s="9"/>
      <c r="B465">
        <f>MONTH(TbSaida[[#This Row],[DATA]])</f>
        <v>1</v>
      </c>
    </row>
    <row r="466" spans="1:5" ht="19.5" customHeight="1" x14ac:dyDescent="0.25">
      <c r="A466" s="9"/>
      <c r="B466">
        <f>MONTH(TbSaida[[#This Row],[DATA]])</f>
        <v>1</v>
      </c>
    </row>
    <row r="467" spans="1:5" ht="19.5" customHeight="1" x14ac:dyDescent="0.25">
      <c r="A467" s="9"/>
      <c r="B467">
        <f>MONTH(TbSaida[[#This Row],[DATA]])</f>
        <v>1</v>
      </c>
    </row>
    <row r="468" spans="1:5" ht="19.5" customHeight="1" x14ac:dyDescent="0.25">
      <c r="A468" s="9"/>
      <c r="B468">
        <f>MONTH(TbSaida[[#This Row],[DATA]])</f>
        <v>1</v>
      </c>
    </row>
    <row r="469" spans="1:5" ht="19.5" customHeight="1" x14ac:dyDescent="0.25">
      <c r="A469" s="9"/>
      <c r="B469">
        <f>MONTH(TbSaida[[#This Row],[DATA]])</f>
        <v>1</v>
      </c>
    </row>
    <row r="470" spans="1:5" ht="19.5" customHeight="1" x14ac:dyDescent="0.25">
      <c r="A470" s="9"/>
      <c r="B470">
        <f>MONTH(TbSaida[[#This Row],[DATA]])</f>
        <v>1</v>
      </c>
    </row>
    <row r="471" spans="1:5" ht="19.5" customHeight="1" x14ac:dyDescent="0.25">
      <c r="A471" s="9"/>
      <c r="B471">
        <f>MONTH(TbSaida[[#This Row],[DATA]])</f>
        <v>1</v>
      </c>
    </row>
    <row r="472" spans="1:5" ht="19.5" customHeight="1" x14ac:dyDescent="0.25">
      <c r="A472" s="9"/>
      <c r="B472">
        <f>MONTH(TbSaida[[#This Row],[DATA]])</f>
        <v>1</v>
      </c>
    </row>
    <row r="473" spans="1:5" ht="19.5" customHeight="1" x14ac:dyDescent="0.25">
      <c r="A473" s="9"/>
      <c r="B473">
        <f>MONTH(TbSaida[[#This Row],[DATA]])</f>
        <v>1</v>
      </c>
    </row>
    <row r="474" spans="1:5" ht="19.5" customHeight="1" x14ac:dyDescent="0.25">
      <c r="A474" t="s">
        <v>6</v>
      </c>
      <c r="C474">
        <f>SUBTOTAL(103,TbSaida[DESCRIÇÃO])</f>
        <v>119</v>
      </c>
      <c r="E474" s="1">
        <f>SUBTOTAL(109,TbSaida[VALOR])</f>
        <v>15391.979999999994</v>
      </c>
    </row>
  </sheetData>
  <dataConsolidate/>
  <mergeCells count="2">
    <mergeCell ref="A5:D5"/>
    <mergeCell ref="A7:E7"/>
  </mergeCells>
  <phoneticPr fontId="8" type="noConversion"/>
  <dataValidations count="5">
    <dataValidation type="list" allowBlank="1" showInputMessage="1" sqref="C10:C102" xr:uid="{6656E50F-A2ED-45AF-BF0E-58504FC18A60}">
      <formula1>"Passeio,Steam,"</formula1>
    </dataValidation>
    <dataValidation type="list" allowBlank="1" showInputMessage="1" sqref="C9" xr:uid="{F14FBD9E-C758-4796-A957-F4FE9EDAA6E5}">
      <formula1>"Passeio, Steam, "</formula1>
    </dataValidation>
    <dataValidation type="list" allowBlank="1" showInputMessage="1" sqref="B4" xr:uid="{D3E8B860-2655-41DF-8202-1361009CC331}">
      <formula1>"ReservaMp GoogleOne,Reserva Celular,ReservaMp Viagem,ReservaMp Pc,ReservaMp Focus,Critptomoeda, Pedágio, Investimentos patrimonio, ReservaMp LicenciamentoFocus,"</formula1>
    </dataValidation>
    <dataValidation type="list" allowBlank="1" showInputMessage="1" sqref="D252:D294 C111:D111 D10:D110 D112:D250" xr:uid="{2440C7E0-2AAA-48C8-81FA-84F8F7CB64CF}">
      <formula1>"MP,ITAÚ"</formula1>
    </dataValidation>
    <dataValidation type="list" allowBlank="1" showInputMessage="1" sqref="D251" xr:uid="{A9006347-F40E-4728-9D9A-AE15BA92E70C}">
      <formula1>"MP,INTER,"</formula1>
    </dataValidation>
  </dataValidations>
  <hyperlinks>
    <hyperlink ref="A1" location="MP!A1" display="MP" xr:uid="{2E9F3965-BBB0-410A-B789-73D21D73BAA8}"/>
    <hyperlink ref="B1" location="ITAÚ!A1" display="ITAÚ" xr:uid="{80E36B99-225A-411A-982D-B44409E483A7}"/>
    <hyperlink ref="C1" location="ENTRADAS!A1" display="ENTRADAS" xr:uid="{BDC4490A-D4D1-4C41-ACFD-2A79B357AF57}"/>
    <hyperlink ref="L1" location="INÍCIO!A1" display="INÍCIO" xr:uid="{B532FD27-52FA-498D-B621-99A3F80D6BFC}"/>
    <hyperlink ref="E1" location="INVESTIMENTO!A1" display="INVESTIMENTO" xr:uid="{9AAD5DA1-3FDD-4DE8-9537-48BBA8753665}"/>
    <hyperlink ref="G1" location="DEVO!A1" display="DEVO" xr:uid="{92C3400A-D273-400D-A749-38C7358D4DD3}"/>
    <hyperlink ref="F1" location="DEVEM!A1" display="DEVEM" xr:uid="{B56B20D2-4D64-478B-BFD3-B4B77DB6BFFE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AF97-1597-4476-AF07-EB512E378DAB}">
  <sheetPr codeName="Planilha9">
    <tabColor theme="5" tint="0.39997558519241921"/>
  </sheetPr>
  <dimension ref="A1:AP101"/>
  <sheetViews>
    <sheetView topLeftCell="G1" zoomScale="85" zoomScaleNormal="85" workbookViewId="0">
      <pane ySplit="5" topLeftCell="A15" activePane="bottomLeft" state="frozen"/>
      <selection pane="bottomLeft" activeCell="L39" sqref="L39"/>
    </sheetView>
  </sheetViews>
  <sheetFormatPr defaultRowHeight="19.5" customHeight="1" x14ac:dyDescent="0.25"/>
  <cols>
    <col min="1" max="1" width="13.5703125" customWidth="1"/>
    <col min="2" max="2" width="28.42578125" style="1" customWidth="1"/>
    <col min="3" max="3" width="15.5703125" style="1" bestFit="1" customWidth="1"/>
    <col min="4" max="4" width="18" bestFit="1" customWidth="1"/>
    <col min="5" max="5" width="17" style="9" customWidth="1"/>
    <col min="6" max="6" width="16.140625" customWidth="1"/>
    <col min="7" max="7" width="16.85546875" style="40" customWidth="1"/>
    <col min="8" max="8" width="20.140625" customWidth="1"/>
    <col min="9" max="9" width="17.7109375" customWidth="1"/>
    <col min="10" max="10" width="16.7109375" customWidth="1"/>
    <col min="11" max="11" width="15.140625" bestFit="1" customWidth="1"/>
    <col min="12" max="12" width="20.5703125" customWidth="1"/>
    <col min="13" max="13" width="23.85546875" customWidth="1"/>
    <col min="14" max="14" width="23.85546875" bestFit="1" customWidth="1"/>
    <col min="15" max="15" width="22.42578125" bestFit="1" customWidth="1"/>
    <col min="16" max="16" width="19.85546875" bestFit="1" customWidth="1"/>
    <col min="17" max="17" width="25.85546875" customWidth="1"/>
    <col min="18" max="18" width="19.85546875" bestFit="1" customWidth="1"/>
    <col min="19" max="19" width="15.28515625" customWidth="1"/>
    <col min="20" max="20" width="22.5703125" customWidth="1"/>
    <col min="21" max="22" width="14.85546875" customWidth="1"/>
    <col min="23" max="23" width="15.5703125" customWidth="1"/>
    <col min="24" max="24" width="15" customWidth="1"/>
    <col min="25" max="30" width="15.5703125" customWidth="1"/>
    <col min="31" max="31" width="14" customWidth="1"/>
    <col min="32" max="32" width="15.5703125" customWidth="1"/>
    <col min="33" max="33" width="17.140625" bestFit="1" customWidth="1"/>
    <col min="34" max="34" width="16.7109375" bestFit="1" customWidth="1"/>
    <col min="35" max="35" width="16.85546875" bestFit="1" customWidth="1"/>
    <col min="36" max="36" width="15.5703125" bestFit="1" customWidth="1"/>
    <col min="37" max="37" width="15.7109375" customWidth="1"/>
    <col min="38" max="38" width="29.140625" bestFit="1" customWidth="1"/>
    <col min="39" max="39" width="18.85546875" customWidth="1"/>
    <col min="40" max="40" width="14.140625" bestFit="1" customWidth="1"/>
    <col min="41" max="41" width="56.42578125" customWidth="1"/>
    <col min="42" max="42" width="57.140625" customWidth="1"/>
  </cols>
  <sheetData>
    <row r="1" spans="1:42" s="4" customFormat="1" ht="19.5" customHeight="1" x14ac:dyDescent="0.25">
      <c r="A1" s="5" t="s">
        <v>58</v>
      </c>
      <c r="B1" s="33" t="s">
        <v>63</v>
      </c>
      <c r="C1" s="24" t="s">
        <v>4</v>
      </c>
      <c r="D1" s="26" t="s">
        <v>27</v>
      </c>
      <c r="E1" s="53" t="s">
        <v>32</v>
      </c>
      <c r="F1" s="43" t="s">
        <v>40</v>
      </c>
      <c r="G1" s="76" t="s">
        <v>39</v>
      </c>
      <c r="H1" s="20"/>
      <c r="AH1" s="22"/>
      <c r="AI1" s="30" t="s">
        <v>28</v>
      </c>
    </row>
    <row r="2" spans="1:42" ht="19.5" customHeight="1" x14ac:dyDescent="0.25">
      <c r="B2" s="32"/>
      <c r="D2" s="1"/>
      <c r="E2"/>
      <c r="G2"/>
      <c r="H2" s="9"/>
    </row>
    <row r="3" spans="1:42" ht="19.5" customHeight="1" x14ac:dyDescent="0.35">
      <c r="A3" s="39" t="s">
        <v>35</v>
      </c>
      <c r="B3" s="38">
        <f>SUM(TbInvesSteam[Valor aplicado:])</f>
        <v>808.73</v>
      </c>
      <c r="C3" s="40"/>
      <c r="D3" s="1"/>
      <c r="E3" s="1"/>
      <c r="G3" s="37"/>
    </row>
    <row r="4" spans="1:42" ht="19.5" customHeight="1" x14ac:dyDescent="0.35">
      <c r="B4" s="9"/>
      <c r="C4"/>
      <c r="D4" s="40"/>
      <c r="E4" s="1"/>
      <c r="F4" s="1"/>
      <c r="H4" s="37" t="s">
        <v>429</v>
      </c>
      <c r="AK4" s="147"/>
      <c r="AL4" s="146"/>
    </row>
    <row r="5" spans="1:42" ht="19.5" customHeight="1" x14ac:dyDescent="0.35">
      <c r="A5" s="36" t="s">
        <v>2</v>
      </c>
      <c r="B5" s="15" t="s">
        <v>30</v>
      </c>
      <c r="C5" s="15" t="s">
        <v>138</v>
      </c>
      <c r="D5" s="41" t="s">
        <v>66</v>
      </c>
      <c r="E5" s="34" t="s">
        <v>31</v>
      </c>
      <c r="F5" s="34" t="s">
        <v>33</v>
      </c>
      <c r="G5"/>
      <c r="H5" s="15" t="s">
        <v>59</v>
      </c>
      <c r="I5" s="15" t="s">
        <v>235</v>
      </c>
      <c r="J5" s="15" t="s">
        <v>416</v>
      </c>
      <c r="K5" s="15" t="s">
        <v>425</v>
      </c>
      <c r="L5" s="15" t="s">
        <v>417</v>
      </c>
      <c r="M5" s="119" t="s">
        <v>372</v>
      </c>
      <c r="N5" s="15" t="s">
        <v>236</v>
      </c>
      <c r="O5" s="15" t="s">
        <v>237</v>
      </c>
      <c r="P5" s="15" t="s">
        <v>71</v>
      </c>
      <c r="Q5" s="15" t="s">
        <v>266</v>
      </c>
      <c r="R5" s="15" t="s">
        <v>107</v>
      </c>
      <c r="S5" s="15" t="s">
        <v>106</v>
      </c>
      <c r="T5" s="15" t="s">
        <v>126</v>
      </c>
      <c r="U5" s="15" t="s">
        <v>61</v>
      </c>
      <c r="V5" s="15" t="s">
        <v>238</v>
      </c>
      <c r="W5" s="15" t="s">
        <v>133</v>
      </c>
      <c r="X5" s="15" t="s">
        <v>228</v>
      </c>
      <c r="Y5" s="98" t="s">
        <v>108</v>
      </c>
      <c r="Z5" s="15" t="s">
        <v>60</v>
      </c>
      <c r="AA5" s="15" t="s">
        <v>67</v>
      </c>
      <c r="AB5" s="103" t="s">
        <v>74</v>
      </c>
      <c r="AC5" s="15" t="s">
        <v>62</v>
      </c>
      <c r="AD5" s="15" t="s">
        <v>65</v>
      </c>
      <c r="AE5" s="15" t="s">
        <v>69</v>
      </c>
      <c r="AF5" s="15" t="s">
        <v>73</v>
      </c>
      <c r="AG5" s="124" t="s">
        <v>124</v>
      </c>
      <c r="AH5" s="15" t="s">
        <v>6</v>
      </c>
      <c r="AL5" s="90"/>
    </row>
    <row r="6" spans="1:42" ht="19.5" customHeight="1" x14ac:dyDescent="0.35">
      <c r="A6" s="9">
        <v>44168</v>
      </c>
      <c r="B6" t="s">
        <v>43</v>
      </c>
      <c r="C6"/>
      <c r="D6" s="40">
        <v>50</v>
      </c>
      <c r="E6" s="1">
        <v>79.989999999999995</v>
      </c>
      <c r="F6" s="1">
        <v>825</v>
      </c>
      <c r="G6"/>
      <c r="H6" s="94">
        <v>45453</v>
      </c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9"/>
      <c r="Z6" s="93"/>
      <c r="AA6" s="93"/>
      <c r="AB6" s="99"/>
      <c r="AC6" s="93"/>
      <c r="AD6" s="93"/>
      <c r="AE6" s="93"/>
      <c r="AF6" s="93"/>
      <c r="AG6" s="125"/>
      <c r="AH6" s="1">
        <f>SUM(TbInvestimentoCDB[[#This Row],[Internet celular cartao MP]:[CDI MP]])</f>
        <v>0</v>
      </c>
      <c r="AL6" s="37"/>
      <c r="AP6" s="91"/>
    </row>
    <row r="7" spans="1:42" ht="19.5" customHeight="1" x14ac:dyDescent="0.25">
      <c r="A7">
        <v>2020</v>
      </c>
      <c r="B7" t="s">
        <v>44</v>
      </c>
      <c r="C7"/>
      <c r="D7" s="40">
        <v>21</v>
      </c>
      <c r="E7" s="1">
        <v>28.35</v>
      </c>
      <c r="F7" s="1"/>
      <c r="G7"/>
      <c r="H7" s="94">
        <v>45483</v>
      </c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>
        <v>150</v>
      </c>
      <c r="V7" s="93"/>
      <c r="W7" s="93"/>
      <c r="X7" s="93"/>
      <c r="Y7" s="99"/>
      <c r="Z7" s="93"/>
      <c r="AA7" s="93">
        <v>200</v>
      </c>
      <c r="AB7" s="99"/>
      <c r="AC7" s="93"/>
      <c r="AD7" s="93"/>
      <c r="AE7" s="93"/>
      <c r="AF7" s="93"/>
      <c r="AG7" s="125"/>
      <c r="AH7" s="1">
        <f>SUM(TbInvestimentoCDB[[#This Row],[Internet celular cartao MP]:[CDI MP]])</f>
        <v>350</v>
      </c>
    </row>
    <row r="8" spans="1:42" ht="19.5" customHeight="1" x14ac:dyDescent="0.25">
      <c r="A8" s="9">
        <v>44460</v>
      </c>
      <c r="B8" t="s">
        <v>45</v>
      </c>
      <c r="C8"/>
      <c r="D8" s="40">
        <v>40</v>
      </c>
      <c r="E8" s="1">
        <v>79.989999999999995</v>
      </c>
      <c r="F8" s="1">
        <v>825</v>
      </c>
      <c r="G8"/>
      <c r="H8" s="94">
        <v>45514</v>
      </c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101">
        <v>168</v>
      </c>
      <c r="V8" s="101"/>
      <c r="W8" s="101"/>
      <c r="X8" s="101"/>
      <c r="Y8" s="99"/>
      <c r="Z8" s="93"/>
      <c r="AA8" s="93"/>
      <c r="AB8" s="99"/>
      <c r="AC8" s="93"/>
      <c r="AD8" s="93"/>
      <c r="AE8" s="93"/>
      <c r="AF8" s="93"/>
      <c r="AG8" s="125"/>
      <c r="AH8" s="1">
        <f>SUM(TbInvestimentoCDB[[#This Row],[Internet celular cartao MP]:[CDI MP]])</f>
        <v>168</v>
      </c>
    </row>
    <row r="9" spans="1:42" ht="19.5" customHeight="1" x14ac:dyDescent="0.35">
      <c r="A9">
        <v>2021</v>
      </c>
      <c r="B9" t="s">
        <v>46</v>
      </c>
      <c r="C9"/>
      <c r="D9" s="40">
        <v>2</v>
      </c>
      <c r="E9" s="1">
        <v>52.99</v>
      </c>
      <c r="F9" s="1"/>
      <c r="G9"/>
      <c r="H9" s="94">
        <v>45545</v>
      </c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>
        <v>137</v>
      </c>
      <c r="V9" s="93"/>
      <c r="W9" s="93"/>
      <c r="X9" s="93"/>
      <c r="Y9" s="99"/>
      <c r="Z9" s="93">
        <v>300</v>
      </c>
      <c r="AA9" s="93"/>
      <c r="AB9" s="99">
        <v>300</v>
      </c>
      <c r="AC9" s="93"/>
      <c r="AD9" s="93"/>
      <c r="AE9" s="93"/>
      <c r="AF9" s="93"/>
      <c r="AG9" s="125"/>
      <c r="AH9" s="1">
        <f>SUM(TbInvestimentoCDB[[#This Row],[Internet celular cartao MP]:[CDI MP]])</f>
        <v>737</v>
      </c>
      <c r="AJ9" s="37" t="s">
        <v>195</v>
      </c>
    </row>
    <row r="10" spans="1:42" ht="19.5" customHeight="1" x14ac:dyDescent="0.25">
      <c r="A10" s="9">
        <v>44531</v>
      </c>
      <c r="B10" t="s">
        <v>47</v>
      </c>
      <c r="C10"/>
      <c r="D10" s="40">
        <v>8</v>
      </c>
      <c r="E10" s="1">
        <v>10.8</v>
      </c>
      <c r="F10" s="1"/>
      <c r="G10"/>
      <c r="H10" s="94">
        <v>45575</v>
      </c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>
        <v>135</v>
      </c>
      <c r="V10" s="93"/>
      <c r="W10" s="93"/>
      <c r="X10" s="93"/>
      <c r="Y10" s="99"/>
      <c r="Z10" s="93">
        <v>119.11</v>
      </c>
      <c r="AA10" s="93">
        <v>119.12</v>
      </c>
      <c r="AB10" s="99"/>
      <c r="AC10" s="93">
        <v>138.22999999999999</v>
      </c>
      <c r="AD10" s="93"/>
      <c r="AE10" s="93"/>
      <c r="AF10" s="93"/>
      <c r="AG10" s="125"/>
      <c r="AH10" s="1">
        <f>SUM(TbInvestimentoCDB[[#This Row],[Internet celular cartao MP]:[CDI MP]])</f>
        <v>511.46000000000004</v>
      </c>
      <c r="AJ10" t="s">
        <v>196</v>
      </c>
    </row>
    <row r="11" spans="1:42" ht="19.5" customHeight="1" x14ac:dyDescent="0.25">
      <c r="A11">
        <v>2022</v>
      </c>
      <c r="B11" t="s">
        <v>48</v>
      </c>
      <c r="C11"/>
      <c r="D11" s="40">
        <v>14</v>
      </c>
      <c r="E11" s="1">
        <v>20</v>
      </c>
      <c r="F11" s="1"/>
      <c r="G11"/>
      <c r="H11" s="94">
        <v>45606</v>
      </c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>
        <v>135</v>
      </c>
      <c r="V11" s="93"/>
      <c r="W11" s="93"/>
      <c r="X11" s="93"/>
      <c r="Y11" s="99"/>
      <c r="Z11" s="93">
        <v>365.56</v>
      </c>
      <c r="AA11" s="93"/>
      <c r="AB11" s="99"/>
      <c r="AC11" s="93">
        <v>248.87</v>
      </c>
      <c r="AD11" s="93">
        <v>116.69</v>
      </c>
      <c r="AE11" s="93"/>
      <c r="AF11" s="93"/>
      <c r="AG11" s="125"/>
      <c r="AH11" s="1">
        <f>SUM(TbInvestimentoCDB[[#This Row],[Internet celular cartao MP]:[CDI MP]])</f>
        <v>866.12000000000012</v>
      </c>
      <c r="AI11" s="132"/>
      <c r="AJ11" t="s">
        <v>266</v>
      </c>
    </row>
    <row r="12" spans="1:42" ht="19.5" customHeight="1" x14ac:dyDescent="0.25">
      <c r="B12" t="s">
        <v>49</v>
      </c>
      <c r="C12"/>
      <c r="D12" s="40">
        <v>19</v>
      </c>
      <c r="E12" s="1">
        <v>4</v>
      </c>
      <c r="F12" s="1"/>
      <c r="G12"/>
      <c r="H12" s="94">
        <v>45636</v>
      </c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>
        <v>135</v>
      </c>
      <c r="V12" s="93"/>
      <c r="W12" s="93"/>
      <c r="X12" s="93"/>
      <c r="Y12" s="99"/>
      <c r="Z12" s="93">
        <v>150</v>
      </c>
      <c r="AA12" s="93">
        <v>100</v>
      </c>
      <c r="AB12" s="99">
        <v>15.66</v>
      </c>
      <c r="AC12" s="93"/>
      <c r="AD12" s="93">
        <v>104.88</v>
      </c>
      <c r="AE12" s="93">
        <v>76.56</v>
      </c>
      <c r="AF12" s="93">
        <v>72.319999999999993</v>
      </c>
      <c r="AG12" s="125"/>
      <c r="AH12" s="1">
        <f>SUM(TbInvestimentoCDB[[#This Row],[Internet celular cartao MP]:[CDI MP]])</f>
        <v>654.42000000000007</v>
      </c>
      <c r="AJ12" t="s">
        <v>197</v>
      </c>
    </row>
    <row r="13" spans="1:42" ht="19.5" customHeight="1" x14ac:dyDescent="0.25">
      <c r="A13" s="9">
        <v>44858</v>
      </c>
      <c r="B13" t="s">
        <v>50</v>
      </c>
      <c r="C13"/>
      <c r="D13" s="40">
        <v>1</v>
      </c>
      <c r="E13" s="1">
        <v>41.17</v>
      </c>
      <c r="F13" s="1"/>
      <c r="G13"/>
      <c r="H13" s="94">
        <v>45667</v>
      </c>
      <c r="I13" s="93"/>
      <c r="J13" s="93"/>
      <c r="K13" s="93"/>
      <c r="L13" s="93"/>
      <c r="M13" s="93"/>
      <c r="N13" s="93"/>
      <c r="O13" s="93"/>
      <c r="P13" s="93">
        <v>16.5</v>
      </c>
      <c r="Q13" s="93"/>
      <c r="R13" s="93"/>
      <c r="S13" s="93"/>
      <c r="T13" s="93"/>
      <c r="U13" s="93">
        <v>135</v>
      </c>
      <c r="V13" s="93"/>
      <c r="W13" s="93"/>
      <c r="X13" s="93"/>
      <c r="Y13" s="99"/>
      <c r="Z13" s="93">
        <v>200</v>
      </c>
      <c r="AA13" s="93"/>
      <c r="AB13" s="99"/>
      <c r="AC13" s="93">
        <v>126.96</v>
      </c>
      <c r="AD13" s="93">
        <v>403.74</v>
      </c>
      <c r="AE13" s="93">
        <v>29.84</v>
      </c>
      <c r="AF13" s="93">
        <v>149.12</v>
      </c>
      <c r="AG13" s="125"/>
      <c r="AH13" s="1">
        <f>SUM(TbInvestimentoCDB[[#This Row],[Internet celular cartao MP]:[CDI MP]])</f>
        <v>1061.1600000000001</v>
      </c>
      <c r="AI13" s="132"/>
      <c r="AJ13" t="s">
        <v>134</v>
      </c>
    </row>
    <row r="14" spans="1:42" ht="19.5" customHeight="1" x14ac:dyDescent="0.25">
      <c r="A14" s="9">
        <v>44908</v>
      </c>
      <c r="B14" t="s">
        <v>51</v>
      </c>
      <c r="C14"/>
      <c r="D14" s="40">
        <v>14</v>
      </c>
      <c r="E14" s="1">
        <v>20</v>
      </c>
      <c r="F14" s="1"/>
      <c r="G14"/>
      <c r="H14" s="94">
        <v>45698</v>
      </c>
      <c r="I14" s="93"/>
      <c r="J14" s="93"/>
      <c r="K14" s="93"/>
      <c r="L14" s="93"/>
      <c r="M14" s="93"/>
      <c r="N14" s="93"/>
      <c r="O14" s="93"/>
      <c r="P14" s="93">
        <v>16.5</v>
      </c>
      <c r="Q14" s="93"/>
      <c r="R14" s="93">
        <v>84</v>
      </c>
      <c r="S14" s="93"/>
      <c r="T14" s="93"/>
      <c r="U14" s="93">
        <v>135</v>
      </c>
      <c r="V14" s="93"/>
      <c r="W14" s="93"/>
      <c r="X14" s="93"/>
      <c r="Y14" s="99"/>
      <c r="Z14" s="93">
        <v>194</v>
      </c>
      <c r="AA14" s="102"/>
      <c r="AB14" s="93"/>
      <c r="AC14" s="93">
        <v>125.46</v>
      </c>
      <c r="AD14" s="93">
        <v>15.69</v>
      </c>
      <c r="AE14" s="93">
        <v>190.35</v>
      </c>
      <c r="AF14" s="93">
        <v>187.74</v>
      </c>
      <c r="AG14" s="125"/>
      <c r="AH14" s="1">
        <f>SUM(TbInvestimentoCDB[[#This Row],[Internet celular cartao MP]:[CDI MP]])</f>
        <v>948.74000000000012</v>
      </c>
      <c r="AJ14" t="s">
        <v>198</v>
      </c>
    </row>
    <row r="15" spans="1:42" ht="19.5" customHeight="1" x14ac:dyDescent="0.25">
      <c r="A15" s="9">
        <v>45569</v>
      </c>
      <c r="B15" t="s">
        <v>64</v>
      </c>
      <c r="C15"/>
      <c r="D15" s="40">
        <v>6</v>
      </c>
      <c r="E15" s="1">
        <f>20.23 +178 + 96.99+14</f>
        <v>309.21999999999997</v>
      </c>
      <c r="F15" s="1"/>
      <c r="G15"/>
      <c r="H15" s="94">
        <v>45726</v>
      </c>
      <c r="I15" s="93"/>
      <c r="J15" s="93"/>
      <c r="K15" s="93"/>
      <c r="L15" s="93"/>
      <c r="M15" s="93"/>
      <c r="N15" s="93"/>
      <c r="O15" s="93"/>
      <c r="P15" s="93">
        <v>16.5</v>
      </c>
      <c r="Q15" s="93"/>
      <c r="R15" s="93">
        <v>100</v>
      </c>
      <c r="S15" s="93"/>
      <c r="T15" s="93"/>
      <c r="U15" s="93">
        <v>0</v>
      </c>
      <c r="V15" s="93"/>
      <c r="W15" s="93"/>
      <c r="X15" s="93"/>
      <c r="Y15" s="99">
        <v>200</v>
      </c>
      <c r="Z15" s="93">
        <v>200</v>
      </c>
      <c r="AA15" s="102"/>
      <c r="AB15" s="93"/>
      <c r="AC15" s="93">
        <v>119.89</v>
      </c>
      <c r="AD15" s="93"/>
      <c r="AE15" s="93"/>
      <c r="AF15" s="93">
        <v>198.66</v>
      </c>
      <c r="AG15" s="125"/>
      <c r="AH15" s="1">
        <f>SUM(TbInvestimentoCDB[[#This Row],[Internet celular cartao MP]:[CDI MP]])</f>
        <v>835.05</v>
      </c>
      <c r="AJ15" t="s">
        <v>199</v>
      </c>
    </row>
    <row r="16" spans="1:42" ht="19.5" customHeight="1" x14ac:dyDescent="0.25">
      <c r="A16" s="9">
        <v>45624</v>
      </c>
      <c r="B16" t="s">
        <v>68</v>
      </c>
      <c r="C16"/>
      <c r="D16" s="40">
        <v>1</v>
      </c>
      <c r="E16" s="1">
        <v>50.48</v>
      </c>
      <c r="F16" s="1"/>
      <c r="G16"/>
      <c r="H16" s="94">
        <v>45757</v>
      </c>
      <c r="I16" s="93"/>
      <c r="J16" s="93"/>
      <c r="K16" s="93"/>
      <c r="L16" s="93"/>
      <c r="M16" s="93"/>
      <c r="N16" s="93"/>
      <c r="O16" s="93"/>
      <c r="P16" s="93">
        <v>16.5</v>
      </c>
      <c r="Q16" s="93"/>
      <c r="R16" s="93">
        <v>60</v>
      </c>
      <c r="S16" s="93"/>
      <c r="T16" s="93"/>
      <c r="U16" s="93">
        <v>0</v>
      </c>
      <c r="V16" s="93"/>
      <c r="W16" s="93"/>
      <c r="X16" s="93"/>
      <c r="Y16" s="99"/>
      <c r="Z16" s="93">
        <v>200</v>
      </c>
      <c r="AA16" s="102"/>
      <c r="AB16" s="93"/>
      <c r="AC16" s="93"/>
      <c r="AD16" s="93"/>
      <c r="AE16" s="93"/>
      <c r="AF16" s="93"/>
      <c r="AG16" s="125">
        <v>500</v>
      </c>
      <c r="AH16" s="1">
        <f>SUM(TbInvestimentoCDB[[#This Row],[Internet celular cartao MP]:[CDI MP]])</f>
        <v>776.5</v>
      </c>
      <c r="AJ16" t="s">
        <v>194</v>
      </c>
    </row>
    <row r="17" spans="1:36" ht="19.5" customHeight="1" x14ac:dyDescent="0.25">
      <c r="A17" s="9">
        <v>45804</v>
      </c>
      <c r="B17" t="s">
        <v>137</v>
      </c>
      <c r="C17" t="s">
        <v>139</v>
      </c>
      <c r="D17" s="40">
        <v>1</v>
      </c>
      <c r="E17" s="1">
        <v>54.25</v>
      </c>
      <c r="F17" s="1"/>
      <c r="G17"/>
      <c r="H17" s="94">
        <v>45787</v>
      </c>
      <c r="I17" s="93"/>
      <c r="J17" s="93"/>
      <c r="K17" s="93"/>
      <c r="L17" s="93"/>
      <c r="M17" s="93"/>
      <c r="N17" s="93"/>
      <c r="O17" s="93"/>
      <c r="P17" s="93">
        <v>16.5</v>
      </c>
      <c r="Q17" s="93"/>
      <c r="R17" s="93">
        <v>60</v>
      </c>
      <c r="S17" s="93"/>
      <c r="T17" s="93">
        <v>50</v>
      </c>
      <c r="U17" s="93">
        <v>11.38</v>
      </c>
      <c r="V17" s="93"/>
      <c r="W17" s="93">
        <v>20</v>
      </c>
      <c r="X17" s="93"/>
      <c r="Y17" s="99"/>
      <c r="Z17" s="93"/>
      <c r="AA17" s="102"/>
      <c r="AB17" s="93"/>
      <c r="AC17" s="93"/>
      <c r="AD17" s="93"/>
      <c r="AE17" s="93"/>
      <c r="AF17" s="93"/>
      <c r="AG17" s="125">
        <v>700</v>
      </c>
      <c r="AH17" s="1">
        <f>SUM(TbInvestimentoCDB[[#This Row],[Internet celular cartao MP]:[CDI MP]])</f>
        <v>857.88</v>
      </c>
      <c r="AJ17" t="s">
        <v>105</v>
      </c>
    </row>
    <row r="18" spans="1:36" ht="19.5" customHeight="1" x14ac:dyDescent="0.25">
      <c r="A18" s="9">
        <v>45976</v>
      </c>
      <c r="B18" t="s">
        <v>193</v>
      </c>
      <c r="C18" t="s">
        <v>194</v>
      </c>
      <c r="D18" s="40">
        <v>1</v>
      </c>
      <c r="E18" s="1">
        <v>57.49</v>
      </c>
      <c r="F18" s="1"/>
      <c r="G18"/>
      <c r="H18" s="94">
        <v>45818</v>
      </c>
      <c r="I18" s="93"/>
      <c r="J18" s="93"/>
      <c r="K18" s="93"/>
      <c r="L18" s="93"/>
      <c r="M18" s="93"/>
      <c r="N18" s="93">
        <v>94.8</v>
      </c>
      <c r="O18" s="93"/>
      <c r="P18" s="93">
        <v>16.5</v>
      </c>
      <c r="Q18" s="93"/>
      <c r="R18" s="93">
        <v>60</v>
      </c>
      <c r="S18" s="93">
        <v>400</v>
      </c>
      <c r="T18" s="93">
        <v>100</v>
      </c>
      <c r="U18" s="93">
        <v>85</v>
      </c>
      <c r="V18" s="93"/>
      <c r="W18" s="93">
        <v>20</v>
      </c>
      <c r="X18" s="93"/>
      <c r="Y18" s="99"/>
      <c r="Z18" s="93"/>
      <c r="AA18" s="102"/>
      <c r="AB18" s="93"/>
      <c r="AC18" s="93"/>
      <c r="AD18" s="93"/>
      <c r="AE18" s="93"/>
      <c r="AF18" s="93"/>
      <c r="AG18" s="125">
        <v>700</v>
      </c>
      <c r="AH18" s="1">
        <f>SUM(TbInvestimentoCDB[[#This Row],[Internet celular cartao MP]:[CDI MP]])</f>
        <v>1476.3</v>
      </c>
      <c r="AJ18" t="str">
        <f>TbInvestimentoCDB[[#Headers],[Viagem]]</f>
        <v>Viagem</v>
      </c>
    </row>
    <row r="19" spans="1:36" ht="19.5" customHeight="1" x14ac:dyDescent="0.25">
      <c r="A19" s="9"/>
      <c r="B19"/>
      <c r="C19"/>
      <c r="D19" s="40"/>
      <c r="E19" s="1"/>
      <c r="F19" s="1"/>
      <c r="G19"/>
      <c r="H19" s="94">
        <v>45848</v>
      </c>
      <c r="I19" s="93"/>
      <c r="J19" s="93"/>
      <c r="K19" s="93"/>
      <c r="L19" s="93"/>
      <c r="M19" s="93"/>
      <c r="N19" s="93">
        <v>94.8</v>
      </c>
      <c r="O19" s="93"/>
      <c r="P19" s="93">
        <v>16.5</v>
      </c>
      <c r="Q19" s="93"/>
      <c r="R19" s="93">
        <v>60</v>
      </c>
      <c r="S19" s="93">
        <v>400</v>
      </c>
      <c r="T19" s="93">
        <v>50</v>
      </c>
      <c r="U19" s="93">
        <v>85</v>
      </c>
      <c r="V19" s="93"/>
      <c r="W19" s="93">
        <v>20</v>
      </c>
      <c r="X19" s="93"/>
      <c r="Y19" s="99"/>
      <c r="Z19" s="93"/>
      <c r="AA19" s="102"/>
      <c r="AB19" s="93"/>
      <c r="AC19" s="93"/>
      <c r="AD19" s="93"/>
      <c r="AE19" s="93">
        <v>250</v>
      </c>
      <c r="AF19" s="93">
        <v>250</v>
      </c>
      <c r="AG19" s="125">
        <v>200</v>
      </c>
      <c r="AH19" s="1">
        <f>SUM(TbInvestimentoCDB[[#This Row],[Internet celular cartao MP]:[CDI MP]])</f>
        <v>1426.3</v>
      </c>
      <c r="AJ19" t="str">
        <f>TbInvestimentoCDB[[#Headers],[Gasto livre]]</f>
        <v>Gasto livre</v>
      </c>
    </row>
    <row r="20" spans="1:36" ht="19.5" customHeight="1" x14ac:dyDescent="0.25">
      <c r="A20" s="9"/>
      <c r="B20"/>
      <c r="C20"/>
      <c r="D20" s="40"/>
      <c r="E20" s="1"/>
      <c r="F20" s="1"/>
      <c r="G20"/>
      <c r="H20" s="94">
        <v>45879</v>
      </c>
      <c r="I20" s="93"/>
      <c r="J20" s="93"/>
      <c r="K20" s="93"/>
      <c r="L20" s="93"/>
      <c r="M20" s="93"/>
      <c r="N20" s="93">
        <v>94.8</v>
      </c>
      <c r="O20" s="93"/>
      <c r="P20" s="93">
        <v>16.5</v>
      </c>
      <c r="Q20" s="93"/>
      <c r="R20" s="93">
        <v>60</v>
      </c>
      <c r="S20" s="93">
        <v>900</v>
      </c>
      <c r="T20" s="93">
        <v>100</v>
      </c>
      <c r="U20" s="93">
        <v>85</v>
      </c>
      <c r="V20" s="93"/>
      <c r="W20" s="93">
        <v>20</v>
      </c>
      <c r="X20" s="93"/>
      <c r="Y20" s="99"/>
      <c r="Z20" s="93"/>
      <c r="AA20" s="93"/>
      <c r="AB20" s="99"/>
      <c r="AC20" s="93"/>
      <c r="AD20" s="93"/>
      <c r="AE20" s="93">
        <v>250.14</v>
      </c>
      <c r="AF20" s="93">
        <v>263.76</v>
      </c>
      <c r="AG20" s="125">
        <v>200</v>
      </c>
      <c r="AH20" s="1">
        <f>SUM(TbInvestimentoCDB[[#This Row],[Internet celular cartao MP]:[CDI MP]])</f>
        <v>1990.2</v>
      </c>
    </row>
    <row r="21" spans="1:36" ht="19.5" customHeight="1" x14ac:dyDescent="0.25">
      <c r="A21" s="9"/>
      <c r="B21"/>
      <c r="C21"/>
      <c r="D21" s="40"/>
      <c r="E21" s="1"/>
      <c r="F21" s="1"/>
      <c r="G21"/>
      <c r="H21" s="94">
        <v>45910</v>
      </c>
      <c r="I21" s="93"/>
      <c r="J21" s="93"/>
      <c r="K21" s="93"/>
      <c r="L21" s="93"/>
      <c r="M21" s="93"/>
      <c r="N21" s="93">
        <v>94.8</v>
      </c>
      <c r="O21" s="93"/>
      <c r="P21" s="93">
        <v>16.5</v>
      </c>
      <c r="Q21" s="93"/>
      <c r="R21" s="93">
        <v>60</v>
      </c>
      <c r="S21" s="93">
        <v>1200</v>
      </c>
      <c r="T21" s="93">
        <v>113</v>
      </c>
      <c r="U21" s="93">
        <v>85</v>
      </c>
      <c r="V21" s="93"/>
      <c r="W21" s="93">
        <v>20</v>
      </c>
      <c r="X21" s="93"/>
      <c r="Y21" s="99"/>
      <c r="Z21" s="93"/>
      <c r="AA21" s="93"/>
      <c r="AB21" s="99"/>
      <c r="AC21" s="93">
        <v>120</v>
      </c>
      <c r="AD21" s="93"/>
      <c r="AE21" s="93">
        <v>190</v>
      </c>
      <c r="AF21" s="93">
        <v>190</v>
      </c>
      <c r="AG21" s="125">
        <v>200</v>
      </c>
      <c r="AH21" s="1">
        <f>SUM(TbInvestimentoCDB[[#This Row],[Internet celular cartao MP]:[CDI MP]])</f>
        <v>2289.3000000000002</v>
      </c>
    </row>
    <row r="22" spans="1:36" ht="19.5" customHeight="1" x14ac:dyDescent="0.25">
      <c r="A22" s="9"/>
      <c r="B22"/>
      <c r="C22"/>
      <c r="D22" s="40"/>
      <c r="E22" s="1"/>
      <c r="F22" s="1"/>
      <c r="G22"/>
      <c r="H22" s="94">
        <v>45940</v>
      </c>
      <c r="I22" s="93"/>
      <c r="J22" s="93"/>
      <c r="K22" s="93"/>
      <c r="L22" s="93"/>
      <c r="M22" s="93"/>
      <c r="N22" s="93">
        <v>94.8</v>
      </c>
      <c r="O22" s="93"/>
      <c r="P22" s="93">
        <v>9.39</v>
      </c>
      <c r="Q22" s="93"/>
      <c r="R22" s="93">
        <v>504.85</v>
      </c>
      <c r="S22" s="93">
        <v>400</v>
      </c>
      <c r="T22" s="93">
        <v>100</v>
      </c>
      <c r="U22" s="93">
        <v>85</v>
      </c>
      <c r="V22" s="93"/>
      <c r="W22" s="93">
        <v>20</v>
      </c>
      <c r="X22" s="93"/>
      <c r="Y22" s="99"/>
      <c r="Z22" s="93"/>
      <c r="AA22" s="93"/>
      <c r="AB22" s="99"/>
      <c r="AC22" s="93">
        <v>134</v>
      </c>
      <c r="AD22" s="93"/>
      <c r="AE22" s="93">
        <v>187</v>
      </c>
      <c r="AF22" s="93">
        <v>190</v>
      </c>
      <c r="AG22" s="125">
        <v>397.55</v>
      </c>
      <c r="AH22" s="1">
        <f>SUM(TbInvestimentoCDB[[#This Row],[Internet celular cartao MP]:[CDI MP]])</f>
        <v>2122.59</v>
      </c>
    </row>
    <row r="23" spans="1:36" ht="19.5" customHeight="1" x14ac:dyDescent="0.25">
      <c r="A23" s="9"/>
      <c r="B23"/>
      <c r="C23"/>
      <c r="D23" s="40"/>
      <c r="E23" s="1"/>
      <c r="F23" s="1"/>
      <c r="G23"/>
      <c r="H23" s="94">
        <v>45971</v>
      </c>
      <c r="I23" s="93"/>
      <c r="J23" s="93"/>
      <c r="K23" s="93"/>
      <c r="L23" s="93"/>
      <c r="M23" s="93"/>
      <c r="N23" s="93">
        <v>94.8</v>
      </c>
      <c r="O23" s="93"/>
      <c r="P23" s="93">
        <v>13.97</v>
      </c>
      <c r="Q23" s="93"/>
      <c r="R23" s="93">
        <v>1300</v>
      </c>
      <c r="S23" s="93">
        <v>850</v>
      </c>
      <c r="T23" s="93">
        <v>90</v>
      </c>
      <c r="U23" s="93">
        <v>85</v>
      </c>
      <c r="V23" s="93">
        <v>39.950000000000003</v>
      </c>
      <c r="W23" s="93">
        <v>20</v>
      </c>
      <c r="X23" s="93"/>
      <c r="Y23" s="99"/>
      <c r="Z23" s="93"/>
      <c r="AA23" s="93"/>
      <c r="AB23" s="99"/>
      <c r="AC23" s="93"/>
      <c r="AD23" s="93"/>
      <c r="AE23" s="93">
        <v>250</v>
      </c>
      <c r="AF23" s="93">
        <v>250</v>
      </c>
      <c r="AG23" s="125">
        <v>200</v>
      </c>
      <c r="AH23" s="1">
        <f>SUM(TbInvestimentoCDB[[#This Row],[Internet celular cartao MP]:[CDI MP]])</f>
        <v>3193.72</v>
      </c>
    </row>
    <row r="24" spans="1:36" ht="19.5" customHeight="1" x14ac:dyDescent="0.25">
      <c r="A24" s="9"/>
      <c r="B24"/>
      <c r="C24"/>
      <c r="D24" s="40"/>
      <c r="E24" s="1"/>
      <c r="F24" s="1"/>
      <c r="G24"/>
      <c r="H24" s="94">
        <v>46001</v>
      </c>
      <c r="I24" s="93"/>
      <c r="J24" s="93"/>
      <c r="K24" s="93"/>
      <c r="L24" s="93"/>
      <c r="M24" s="93"/>
      <c r="N24" s="93">
        <v>94.8</v>
      </c>
      <c r="O24" s="93"/>
      <c r="P24" s="93">
        <v>13.97</v>
      </c>
      <c r="Q24" s="93"/>
      <c r="R24" s="93">
        <v>400</v>
      </c>
      <c r="S24" s="93">
        <v>400</v>
      </c>
      <c r="T24" s="93">
        <v>50</v>
      </c>
      <c r="U24" s="93">
        <v>60</v>
      </c>
      <c r="V24" s="93">
        <v>39.950000000000003</v>
      </c>
      <c r="W24" s="93">
        <v>20</v>
      </c>
      <c r="X24" s="93"/>
      <c r="Y24" s="99"/>
      <c r="Z24" s="93"/>
      <c r="AA24" s="93"/>
      <c r="AB24" s="99"/>
      <c r="AC24" s="93"/>
      <c r="AD24" s="93"/>
      <c r="AE24" s="93"/>
      <c r="AF24" s="93">
        <v>350</v>
      </c>
      <c r="AG24" s="125">
        <v>350</v>
      </c>
      <c r="AH24" s="1">
        <f>SUM(TbInvestimentoCDB[[#This Row],[Internet celular cartao MP]:[CDI MP]])</f>
        <v>1778.72</v>
      </c>
    </row>
    <row r="25" spans="1:36" ht="19.5" customHeight="1" x14ac:dyDescent="0.25">
      <c r="A25" s="9"/>
      <c r="B25"/>
      <c r="C25"/>
      <c r="D25" s="40"/>
      <c r="E25" s="1"/>
      <c r="F25" s="1"/>
      <c r="G25"/>
      <c r="H25" s="94">
        <v>46032</v>
      </c>
      <c r="I25" s="93"/>
      <c r="J25" s="93"/>
      <c r="K25" s="93"/>
      <c r="L25" s="93"/>
      <c r="M25" s="93">
        <v>5.99</v>
      </c>
      <c r="N25" s="93">
        <v>94.8</v>
      </c>
      <c r="O25" s="93">
        <v>191.6</v>
      </c>
      <c r="P25" s="93">
        <v>13.97</v>
      </c>
      <c r="Q25" s="93"/>
      <c r="R25" s="93">
        <v>208.4</v>
      </c>
      <c r="S25" s="93">
        <v>400</v>
      </c>
      <c r="T25" s="93">
        <v>90</v>
      </c>
      <c r="U25" s="93">
        <v>85</v>
      </c>
      <c r="V25" s="93">
        <v>39.950000000000003</v>
      </c>
      <c r="W25" s="93">
        <v>20</v>
      </c>
      <c r="X25" s="93">
        <v>700</v>
      </c>
      <c r="Y25" s="99"/>
      <c r="Z25" s="93"/>
      <c r="AA25" s="93"/>
      <c r="AB25" s="99"/>
      <c r="AC25" s="93"/>
      <c r="AD25" s="93"/>
      <c r="AE25" s="93"/>
      <c r="AF25" s="93">
        <v>350</v>
      </c>
      <c r="AG25" s="125">
        <v>350</v>
      </c>
      <c r="AH25" s="1">
        <f>SUM(TbInvestimentoCDB[[#This Row],[Internet celular cartao MP]:[CDI MP]])</f>
        <v>2549.71</v>
      </c>
    </row>
    <row r="26" spans="1:36" ht="19.5" customHeight="1" x14ac:dyDescent="0.25">
      <c r="A26" s="9"/>
      <c r="B26"/>
      <c r="C26"/>
      <c r="D26" s="40"/>
      <c r="E26" s="1"/>
      <c r="F26" s="1"/>
      <c r="G26"/>
      <c r="H26" s="94">
        <v>46063</v>
      </c>
      <c r="I26" s="93">
        <v>30</v>
      </c>
      <c r="J26" s="93"/>
      <c r="K26" s="93"/>
      <c r="L26" s="93"/>
      <c r="M26" s="93">
        <v>5.99</v>
      </c>
      <c r="N26" s="93">
        <v>94.8</v>
      </c>
      <c r="O26" s="93">
        <v>191.6</v>
      </c>
      <c r="P26" s="93">
        <v>13.97</v>
      </c>
      <c r="Q26" s="93"/>
      <c r="R26" s="93">
        <v>208.4</v>
      </c>
      <c r="S26" s="93">
        <v>400</v>
      </c>
      <c r="T26" s="93">
        <v>90</v>
      </c>
      <c r="U26" s="93">
        <v>85</v>
      </c>
      <c r="V26" s="93">
        <v>39.950000000000003</v>
      </c>
      <c r="W26" s="93">
        <v>20</v>
      </c>
      <c r="X26" s="93">
        <v>700</v>
      </c>
      <c r="Y26" s="99">
        <v>350</v>
      </c>
      <c r="Z26" s="93"/>
      <c r="AA26" s="93"/>
      <c r="AB26" s="99"/>
      <c r="AC26" s="93"/>
      <c r="AD26" s="93"/>
      <c r="AE26" s="93"/>
      <c r="AF26" s="93"/>
      <c r="AG26" s="125">
        <v>350</v>
      </c>
      <c r="AH26" s="1">
        <f>SUM(TbInvestimentoCDB[[#This Row],[Internet celular cartao MP]:[CDI MP]])</f>
        <v>2579.71</v>
      </c>
      <c r="AJ26" s="97"/>
    </row>
    <row r="27" spans="1:36" ht="19.5" customHeight="1" x14ac:dyDescent="0.25">
      <c r="A27" s="9"/>
      <c r="B27"/>
      <c r="C27"/>
      <c r="D27" s="40"/>
      <c r="E27" s="1"/>
      <c r="F27" s="1"/>
      <c r="G27"/>
      <c r="H27" s="94">
        <v>46091</v>
      </c>
      <c r="I27" s="93">
        <v>30</v>
      </c>
      <c r="J27" s="93"/>
      <c r="K27" s="93"/>
      <c r="L27" s="93"/>
      <c r="M27" s="93">
        <v>5.99</v>
      </c>
      <c r="N27" s="93">
        <v>94.8</v>
      </c>
      <c r="O27" s="93">
        <v>191.6</v>
      </c>
      <c r="P27" s="93">
        <v>13.97</v>
      </c>
      <c r="Q27" s="93">
        <v>1000</v>
      </c>
      <c r="R27" s="93">
        <v>200</v>
      </c>
      <c r="S27" s="93">
        <v>550</v>
      </c>
      <c r="T27" s="93">
        <v>90</v>
      </c>
      <c r="U27" s="93">
        <v>85</v>
      </c>
      <c r="V27" s="93">
        <v>39.950000000000003</v>
      </c>
      <c r="W27" s="93"/>
      <c r="X27" s="93">
        <v>700</v>
      </c>
      <c r="Y27" s="99"/>
      <c r="Z27" s="93"/>
      <c r="AA27" s="93"/>
      <c r="AB27" s="99"/>
      <c r="AC27" s="93"/>
      <c r="AD27" s="93"/>
      <c r="AE27" s="93"/>
      <c r="AF27" s="93">
        <v>0</v>
      </c>
      <c r="AG27" s="125">
        <v>700</v>
      </c>
      <c r="AH27" s="1">
        <f>SUM(TbInvestimentoCDB[[#This Row],[Internet celular cartao MP]:[CDI MP]])</f>
        <v>3701.31</v>
      </c>
    </row>
    <row r="28" spans="1:36" ht="19.5" customHeight="1" x14ac:dyDescent="0.25">
      <c r="A28" s="9"/>
      <c r="B28"/>
      <c r="C28"/>
      <c r="D28" s="40"/>
      <c r="E28" s="1"/>
      <c r="F28" s="1"/>
      <c r="G28"/>
      <c r="H28" s="94">
        <v>46122</v>
      </c>
      <c r="I28" s="93">
        <v>30</v>
      </c>
      <c r="J28" s="93">
        <v>14.95</v>
      </c>
      <c r="K28" s="93"/>
      <c r="L28" s="93">
        <v>10.9</v>
      </c>
      <c r="M28" s="93">
        <v>5.99</v>
      </c>
      <c r="N28" s="93"/>
      <c r="O28" s="93">
        <v>191.6</v>
      </c>
      <c r="P28" s="93">
        <v>13.97</v>
      </c>
      <c r="Q28" s="93">
        <v>1000</v>
      </c>
      <c r="R28" s="93">
        <v>208.4</v>
      </c>
      <c r="S28" s="93">
        <v>400</v>
      </c>
      <c r="T28" s="93">
        <v>90</v>
      </c>
      <c r="U28" s="93">
        <v>85</v>
      </c>
      <c r="V28" s="93">
        <v>39.950000000000003</v>
      </c>
      <c r="W28" s="93"/>
      <c r="X28" s="93">
        <v>700</v>
      </c>
      <c r="Y28" s="99"/>
      <c r="Z28" s="93">
        <v>200</v>
      </c>
      <c r="AA28" s="93"/>
      <c r="AB28" s="99"/>
      <c r="AC28" s="93"/>
      <c r="AD28" s="93"/>
      <c r="AE28" s="93"/>
      <c r="AF28" s="93"/>
      <c r="AG28" s="125">
        <v>500</v>
      </c>
      <c r="AH28" s="1">
        <f>SUM(TbInvestimentoCDB[[#This Row],[Internet celular cartao MP]:[CDI MP]])</f>
        <v>3490.76</v>
      </c>
    </row>
    <row r="29" spans="1:36" ht="19.5" customHeight="1" x14ac:dyDescent="0.25">
      <c r="A29" s="9"/>
      <c r="B29"/>
      <c r="C29"/>
      <c r="D29" s="40"/>
      <c r="E29" s="1"/>
      <c r="F29" s="1"/>
      <c r="G29"/>
      <c r="H29" s="94">
        <v>46152</v>
      </c>
      <c r="I29" s="93">
        <v>30</v>
      </c>
      <c r="J29" s="93">
        <v>14.95</v>
      </c>
      <c r="K29" s="93"/>
      <c r="L29" s="93">
        <v>19.899999999999999</v>
      </c>
      <c r="M29" s="93">
        <v>5.99</v>
      </c>
      <c r="N29" s="93"/>
      <c r="O29" s="93">
        <v>191.6</v>
      </c>
      <c r="P29" s="93">
        <v>13.97</v>
      </c>
      <c r="Q29" s="93">
        <v>1000</v>
      </c>
      <c r="R29" s="93">
        <v>0</v>
      </c>
      <c r="S29" s="93">
        <v>0</v>
      </c>
      <c r="T29" s="93">
        <v>0</v>
      </c>
      <c r="U29" s="93">
        <v>0</v>
      </c>
      <c r="V29" s="93">
        <v>39.950000000000003</v>
      </c>
      <c r="W29" s="93">
        <v>12.5</v>
      </c>
      <c r="X29" s="93">
        <v>0</v>
      </c>
      <c r="Y29" s="99"/>
      <c r="Z29" s="93"/>
      <c r="AA29" s="93"/>
      <c r="AB29" s="99"/>
      <c r="AC29" s="93"/>
      <c r="AD29" s="93"/>
      <c r="AE29" s="93"/>
      <c r="AF29" s="93"/>
      <c r="AG29" s="125">
        <v>0</v>
      </c>
      <c r="AH29" s="1">
        <f>SUM(TbInvestimentoCDB[[#This Row],[Internet celular cartao MP]:[CDI MP]])</f>
        <v>1328.8600000000001</v>
      </c>
    </row>
    <row r="30" spans="1:36" ht="19.5" customHeight="1" x14ac:dyDescent="0.25">
      <c r="A30" s="9"/>
      <c r="B30"/>
      <c r="C30"/>
      <c r="D30" s="40"/>
      <c r="E30" s="1"/>
      <c r="F30" s="1"/>
      <c r="G30"/>
      <c r="H30" s="94">
        <v>46183</v>
      </c>
      <c r="I30" s="93">
        <v>30</v>
      </c>
      <c r="J30" s="93">
        <v>14.95</v>
      </c>
      <c r="K30" s="93">
        <v>113.85</v>
      </c>
      <c r="L30" s="93">
        <v>19.899999999999999</v>
      </c>
      <c r="M30" s="93">
        <v>5.99</v>
      </c>
      <c r="N30" s="93"/>
      <c r="O30" s="93">
        <v>191.6</v>
      </c>
      <c r="P30" s="93">
        <v>13.97</v>
      </c>
      <c r="Q30" s="93">
        <v>751.39</v>
      </c>
      <c r="R30" s="93">
        <v>0</v>
      </c>
      <c r="S30" s="93">
        <v>0</v>
      </c>
      <c r="T30" s="93">
        <v>0</v>
      </c>
      <c r="U30" s="93">
        <v>0</v>
      </c>
      <c r="V30" s="93">
        <v>39.950000000000003</v>
      </c>
      <c r="W30" s="93">
        <v>20</v>
      </c>
      <c r="X30" s="93"/>
      <c r="Y30" s="99"/>
      <c r="Z30" s="93"/>
      <c r="AA30" s="93"/>
      <c r="AB30" s="99"/>
      <c r="AC30" s="93"/>
      <c r="AD30" s="93"/>
      <c r="AE30" s="93"/>
      <c r="AF30" s="93"/>
      <c r="AG30" s="125">
        <v>0</v>
      </c>
      <c r="AH30" s="1">
        <f>SUM(TbInvestimentoCDB[[#This Row],[Internet celular cartao MP]:[CDI MP]])</f>
        <v>1201.6000000000001</v>
      </c>
    </row>
    <row r="31" spans="1:36" ht="19.5" customHeight="1" x14ac:dyDescent="0.25">
      <c r="A31" s="9"/>
      <c r="B31"/>
      <c r="C31"/>
      <c r="D31" s="40"/>
      <c r="E31" s="1"/>
      <c r="F31" s="1"/>
      <c r="G31"/>
      <c r="H31" s="121">
        <v>46213</v>
      </c>
      <c r="I31" s="130">
        <v>30</v>
      </c>
      <c r="J31" s="130">
        <v>14.95</v>
      </c>
      <c r="K31" s="130">
        <v>110</v>
      </c>
      <c r="L31" s="130">
        <v>19.899999999999999</v>
      </c>
      <c r="M31" s="1">
        <v>5.99</v>
      </c>
      <c r="N31" s="1"/>
      <c r="O31" s="1">
        <v>191.6</v>
      </c>
      <c r="P31" s="1">
        <v>13.97</v>
      </c>
      <c r="Q31" s="1">
        <v>1000</v>
      </c>
      <c r="R31" s="120">
        <v>208.4</v>
      </c>
      <c r="S31" s="120">
        <v>400</v>
      </c>
      <c r="T31" s="1">
        <v>90</v>
      </c>
      <c r="U31" s="1">
        <v>85</v>
      </c>
      <c r="V31" s="1">
        <v>39.950000000000003</v>
      </c>
      <c r="W31" s="1">
        <v>20</v>
      </c>
      <c r="X31" s="1">
        <v>700</v>
      </c>
      <c r="Y31" s="100"/>
      <c r="Z31" s="1"/>
      <c r="AA31" s="1"/>
      <c r="AB31" s="100"/>
      <c r="AC31" s="1"/>
      <c r="AD31" s="1"/>
      <c r="AE31" s="1"/>
      <c r="AF31" s="1"/>
      <c r="AG31" s="126">
        <v>700</v>
      </c>
      <c r="AH31" s="1">
        <f>SUM(TbInvestimentoCDB[[#This Row],[Internet celular cartao MP]:[CDI MP]])</f>
        <v>3629.76</v>
      </c>
    </row>
    <row r="32" spans="1:36" ht="19.5" customHeight="1" x14ac:dyDescent="0.25">
      <c r="A32" s="9"/>
      <c r="B32"/>
      <c r="C32"/>
      <c r="D32" s="40"/>
      <c r="E32" s="1"/>
      <c r="F32" s="1"/>
      <c r="G32"/>
      <c r="H32" s="54">
        <v>46244</v>
      </c>
      <c r="I32" s="130">
        <v>30</v>
      </c>
      <c r="J32" s="130">
        <v>14.95</v>
      </c>
      <c r="K32" s="130" t="s">
        <v>109</v>
      </c>
      <c r="L32" s="130">
        <v>19.899999999999999</v>
      </c>
      <c r="M32" s="1">
        <v>5.99</v>
      </c>
      <c r="N32" s="1"/>
      <c r="O32" s="1">
        <v>191.6</v>
      </c>
      <c r="P32" s="1">
        <v>13.97</v>
      </c>
      <c r="Q32" s="1">
        <v>1000</v>
      </c>
      <c r="R32" s="120">
        <v>208.4</v>
      </c>
      <c r="S32" s="120">
        <v>400</v>
      </c>
      <c r="T32" s="1">
        <v>90</v>
      </c>
      <c r="U32" s="1">
        <v>85</v>
      </c>
      <c r="V32" s="1">
        <v>39.950000000000003</v>
      </c>
      <c r="W32" s="1">
        <v>20</v>
      </c>
      <c r="X32" s="1">
        <v>700</v>
      </c>
      <c r="Y32" s="100"/>
      <c r="Z32" s="1"/>
      <c r="AA32" s="1"/>
      <c r="AB32" s="100"/>
      <c r="AC32" s="1"/>
      <c r="AD32" s="1"/>
      <c r="AE32" s="1"/>
      <c r="AF32" s="1"/>
      <c r="AG32" s="126">
        <v>700</v>
      </c>
      <c r="AH32" s="1">
        <f>SUM(TbInvestimentoCDB[[#This Row],[Internet celular cartao MP]:[CDI MP]])</f>
        <v>3519.76</v>
      </c>
    </row>
    <row r="33" spans="1:36" ht="19.5" customHeight="1" x14ac:dyDescent="0.25">
      <c r="A33" s="9"/>
      <c r="B33"/>
      <c r="C33"/>
      <c r="D33" s="40"/>
      <c r="E33" s="1"/>
      <c r="F33" s="1"/>
      <c r="G33"/>
      <c r="H33" s="54">
        <v>46275</v>
      </c>
      <c r="I33" s="130">
        <v>30</v>
      </c>
      <c r="J33" s="130">
        <v>14.95</v>
      </c>
      <c r="K33" s="130" t="s">
        <v>109</v>
      </c>
      <c r="L33" s="130">
        <v>19.899999999999999</v>
      </c>
      <c r="M33" s="1">
        <v>5.99</v>
      </c>
      <c r="N33" s="1"/>
      <c r="O33" s="1">
        <v>191.6</v>
      </c>
      <c r="P33" s="1">
        <v>13.97</v>
      </c>
      <c r="Q33" s="1">
        <v>1000</v>
      </c>
      <c r="R33" s="120">
        <v>208.4</v>
      </c>
      <c r="S33" s="120">
        <v>400</v>
      </c>
      <c r="T33" s="1">
        <v>90</v>
      </c>
      <c r="U33" s="1">
        <v>85</v>
      </c>
      <c r="V33" s="1"/>
      <c r="W33" s="1">
        <v>20</v>
      </c>
      <c r="X33" s="1">
        <v>700</v>
      </c>
      <c r="Y33" s="100"/>
      <c r="Z33" s="1"/>
      <c r="AA33" s="1"/>
      <c r="AB33" s="100"/>
      <c r="AC33" s="1"/>
      <c r="AD33" s="1"/>
      <c r="AE33" s="1"/>
      <c r="AF33" s="1"/>
      <c r="AG33" s="126">
        <v>700</v>
      </c>
      <c r="AH33" s="1">
        <f>SUM(TbInvestimentoCDB[[#This Row],[Internet celular cartao MP]:[CDI MP]])</f>
        <v>3479.8100000000004</v>
      </c>
    </row>
    <row r="34" spans="1:36" ht="19.5" customHeight="1" x14ac:dyDescent="0.25">
      <c r="A34" s="9"/>
      <c r="B34"/>
      <c r="C34"/>
      <c r="D34" s="40"/>
      <c r="E34" s="1"/>
      <c r="F34" s="1"/>
      <c r="G34"/>
      <c r="H34" s="54">
        <v>46305</v>
      </c>
      <c r="I34" s="130">
        <v>30</v>
      </c>
      <c r="J34" s="130">
        <v>14.95</v>
      </c>
      <c r="K34" s="130" t="s">
        <v>109</v>
      </c>
      <c r="L34" s="130">
        <v>19.899999999999999</v>
      </c>
      <c r="M34" s="1">
        <v>5.99</v>
      </c>
      <c r="N34" s="1"/>
      <c r="O34" s="1">
        <v>191.6</v>
      </c>
      <c r="P34" s="1">
        <v>13.97</v>
      </c>
      <c r="Q34" s="1">
        <v>1000</v>
      </c>
      <c r="R34" s="120">
        <v>208.4</v>
      </c>
      <c r="S34" s="120">
        <v>400</v>
      </c>
      <c r="T34" s="1">
        <v>90</v>
      </c>
      <c r="U34" s="1">
        <v>85</v>
      </c>
      <c r="V34" s="1"/>
      <c r="W34" s="1">
        <v>20</v>
      </c>
      <c r="X34" s="1">
        <v>700</v>
      </c>
      <c r="Y34" s="100"/>
      <c r="Z34" s="1"/>
      <c r="AA34" s="1"/>
      <c r="AB34" s="100"/>
      <c r="AC34" s="1"/>
      <c r="AD34" s="1"/>
      <c r="AE34" s="1"/>
      <c r="AF34" s="1"/>
      <c r="AG34" s="126">
        <v>700</v>
      </c>
      <c r="AH34" s="1">
        <f>SUM(TbInvestimentoCDB[[#This Row],[Internet celular cartao MP]:[CDI MP]])</f>
        <v>3479.8100000000004</v>
      </c>
    </row>
    <row r="35" spans="1:36" ht="19.5" customHeight="1" x14ac:dyDescent="0.25">
      <c r="A35" s="9"/>
      <c r="B35"/>
      <c r="C35"/>
      <c r="D35" s="40"/>
      <c r="E35" s="1"/>
      <c r="F35" s="1"/>
      <c r="G35"/>
      <c r="H35" s="54">
        <v>46336</v>
      </c>
      <c r="I35" s="130">
        <v>30</v>
      </c>
      <c r="J35" s="130">
        <v>14.95</v>
      </c>
      <c r="K35" s="130" t="s">
        <v>109</v>
      </c>
      <c r="L35" s="130">
        <v>19.899999999999999</v>
      </c>
      <c r="M35" s="1">
        <v>5.99</v>
      </c>
      <c r="N35" s="1"/>
      <c r="O35" s="1">
        <v>191.6</v>
      </c>
      <c r="P35" s="1"/>
      <c r="Q35" s="1">
        <v>1000</v>
      </c>
      <c r="R35" s="120">
        <v>208.4</v>
      </c>
      <c r="S35" s="120">
        <v>400</v>
      </c>
      <c r="T35" s="1">
        <v>90</v>
      </c>
      <c r="U35" s="1">
        <v>85</v>
      </c>
      <c r="V35" s="1"/>
      <c r="W35" s="1">
        <v>20</v>
      </c>
      <c r="X35" s="1">
        <v>700</v>
      </c>
      <c r="Y35" s="100"/>
      <c r="Z35" s="1"/>
      <c r="AA35" s="1"/>
      <c r="AB35" s="100"/>
      <c r="AC35" s="1"/>
      <c r="AD35" s="1"/>
      <c r="AE35" s="1"/>
      <c r="AF35" s="1"/>
      <c r="AG35" s="126">
        <v>700</v>
      </c>
      <c r="AH35" s="1">
        <f>SUM(TbInvestimentoCDB[[#This Row],[Internet celular cartao MP]:[CDI MP]])</f>
        <v>3465.84</v>
      </c>
    </row>
    <row r="36" spans="1:36" ht="19.5" customHeight="1" x14ac:dyDescent="0.25">
      <c r="A36" s="9"/>
      <c r="B36"/>
      <c r="C36"/>
      <c r="D36" s="40"/>
      <c r="E36" s="1"/>
      <c r="F36" s="1"/>
      <c r="G36"/>
      <c r="H36" s="54">
        <v>46366</v>
      </c>
      <c r="I36" s="130">
        <v>30</v>
      </c>
      <c r="J36" s="130">
        <v>14.95</v>
      </c>
      <c r="K36" s="130" t="s">
        <v>109</v>
      </c>
      <c r="L36" s="130">
        <v>19.899999999999999</v>
      </c>
      <c r="M36" s="1">
        <v>5.99</v>
      </c>
      <c r="N36" s="1"/>
      <c r="O36" s="1">
        <v>191.6</v>
      </c>
      <c r="P36" s="1"/>
      <c r="Q36" s="1">
        <v>1000</v>
      </c>
      <c r="R36" s="120">
        <v>208.4</v>
      </c>
      <c r="S36" s="120">
        <v>400</v>
      </c>
      <c r="T36" s="1">
        <v>90</v>
      </c>
      <c r="U36" s="1">
        <v>85</v>
      </c>
      <c r="V36" s="1"/>
      <c r="W36" s="1">
        <v>20</v>
      </c>
      <c r="X36" s="1">
        <v>700</v>
      </c>
      <c r="Y36" s="100"/>
      <c r="Z36" s="1"/>
      <c r="AA36" s="1"/>
      <c r="AB36" s="100"/>
      <c r="AC36" s="1"/>
      <c r="AD36" s="1"/>
      <c r="AE36" s="1"/>
      <c r="AF36" s="1"/>
      <c r="AG36" s="126">
        <v>700</v>
      </c>
      <c r="AH36" s="1">
        <f>SUM(TbInvestimentoCDB[[#This Row],[Internet celular cartao MP]:[CDI MP]])</f>
        <v>3465.84</v>
      </c>
      <c r="AI36" s="1"/>
      <c r="AJ36" s="1"/>
    </row>
    <row r="37" spans="1:36" ht="19.5" customHeight="1" x14ac:dyDescent="0.25">
      <c r="A37" s="9"/>
      <c r="B37"/>
      <c r="C37"/>
      <c r="D37" s="40"/>
      <c r="E37" s="1"/>
      <c r="F37" s="1"/>
      <c r="G37"/>
      <c r="H37" s="54">
        <v>46397</v>
      </c>
      <c r="I37" s="130">
        <v>30</v>
      </c>
      <c r="J37" s="130">
        <v>14.95</v>
      </c>
      <c r="K37" s="130" t="s">
        <v>109</v>
      </c>
      <c r="L37" s="130">
        <v>19.899999999999999</v>
      </c>
      <c r="M37" s="1">
        <v>5.99</v>
      </c>
      <c r="N37" s="1"/>
      <c r="O37" s="1"/>
      <c r="P37" s="1"/>
      <c r="Q37" s="1">
        <v>1000</v>
      </c>
      <c r="R37" s="120">
        <v>208.4</v>
      </c>
      <c r="S37" s="120">
        <v>400</v>
      </c>
      <c r="T37" s="1">
        <v>90</v>
      </c>
      <c r="U37" s="1">
        <v>85</v>
      </c>
      <c r="V37" s="1"/>
      <c r="W37" s="1">
        <v>20</v>
      </c>
      <c r="X37" s="1">
        <v>700</v>
      </c>
      <c r="Y37" s="100"/>
      <c r="Z37" s="1"/>
      <c r="AA37" s="1"/>
      <c r="AB37" s="100"/>
      <c r="AC37" s="1"/>
      <c r="AD37" s="1"/>
      <c r="AE37" s="1"/>
      <c r="AF37" s="1"/>
      <c r="AG37" s="126">
        <v>700</v>
      </c>
      <c r="AH37" s="1">
        <f>SUM(TbInvestimentoCDB[[#This Row],[Internet celular cartao MP]:[CDI MP]])</f>
        <v>3274.24</v>
      </c>
    </row>
    <row r="38" spans="1:36" ht="19.5" customHeight="1" x14ac:dyDescent="0.25">
      <c r="A38" s="9"/>
      <c r="B38"/>
      <c r="C38"/>
      <c r="D38" s="40"/>
      <c r="E38" s="1"/>
      <c r="F38" s="1"/>
      <c r="G38"/>
      <c r="P38" s="120"/>
    </row>
    <row r="39" spans="1:36" ht="19.5" customHeight="1" x14ac:dyDescent="0.25">
      <c r="A39" s="9"/>
      <c r="B39"/>
      <c r="C39"/>
      <c r="D39" s="40"/>
      <c r="E39" s="1"/>
      <c r="F39" s="1"/>
      <c r="G39"/>
    </row>
    <row r="40" spans="1:36" ht="19.5" customHeight="1" x14ac:dyDescent="0.25">
      <c r="A40" s="9"/>
      <c r="B40"/>
      <c r="C40"/>
      <c r="D40" s="40"/>
      <c r="E40" s="1"/>
      <c r="F40" s="1"/>
      <c r="G40"/>
      <c r="H40" s="40"/>
      <c r="R40" s="97"/>
      <c r="S40" s="97"/>
      <c r="T40" s="97"/>
      <c r="U40" s="97"/>
      <c r="V40" s="97"/>
      <c r="W40" s="97"/>
      <c r="X40" s="97"/>
      <c r="AD40" s="97"/>
      <c r="AE40" s="97"/>
    </row>
    <row r="41" spans="1:36" ht="19.5" customHeight="1" x14ac:dyDescent="0.25">
      <c r="A41" s="9"/>
      <c r="B41"/>
      <c r="C41"/>
      <c r="D41" s="40"/>
      <c r="E41" s="1"/>
      <c r="F41" s="1"/>
      <c r="G41"/>
      <c r="H41" s="152"/>
    </row>
    <row r="42" spans="1:36" ht="19.5" customHeight="1" x14ac:dyDescent="0.25">
      <c r="A42" s="9"/>
      <c r="B42"/>
      <c r="C42"/>
      <c r="D42" s="40"/>
      <c r="E42" s="1"/>
      <c r="F42" s="1"/>
      <c r="G42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36" ht="19.5" customHeight="1" x14ac:dyDescent="0.25">
      <c r="A43" s="9"/>
      <c r="B43"/>
      <c r="C43"/>
      <c r="D43" s="40"/>
      <c r="E43" s="1"/>
      <c r="F43" s="1"/>
      <c r="G43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36" ht="19.5" customHeight="1" x14ac:dyDescent="0.25">
      <c r="A44" s="9"/>
      <c r="B44"/>
      <c r="C44"/>
      <c r="D44" s="40"/>
      <c r="E44" s="1"/>
      <c r="F44" s="1"/>
      <c r="G44"/>
      <c r="I44" s="153"/>
      <c r="J44" s="1"/>
      <c r="K44" s="1"/>
      <c r="L44" s="1"/>
      <c r="M44" s="1"/>
      <c r="N44" s="1"/>
      <c r="O44" s="1"/>
      <c r="P44" s="1"/>
      <c r="Q44" s="1"/>
      <c r="R44" s="1"/>
    </row>
    <row r="45" spans="1:36" ht="19.5" customHeight="1" x14ac:dyDescent="0.25">
      <c r="A45" s="9"/>
      <c r="B45"/>
      <c r="C45"/>
      <c r="D45" s="40"/>
      <c r="E45" s="1"/>
      <c r="F45" s="1"/>
      <c r="G45"/>
      <c r="J45" s="1"/>
      <c r="K45" s="1"/>
      <c r="L45" s="1"/>
      <c r="M45" s="1"/>
      <c r="N45" s="1"/>
      <c r="O45" s="1"/>
      <c r="P45" s="1"/>
      <c r="Q45" s="1"/>
      <c r="R45" s="1"/>
    </row>
    <row r="46" spans="1:36" ht="19.5" customHeight="1" x14ac:dyDescent="0.25">
      <c r="A46" s="9"/>
      <c r="B46"/>
      <c r="C46"/>
      <c r="D46" s="40"/>
      <c r="E46" s="1"/>
      <c r="F46" s="1"/>
      <c r="G46"/>
      <c r="J46" s="1"/>
      <c r="K46" s="1"/>
      <c r="L46" s="1"/>
      <c r="M46" s="1"/>
      <c r="N46" s="1"/>
      <c r="O46" s="1"/>
      <c r="P46" s="1"/>
      <c r="Q46" s="1"/>
      <c r="R46" s="1"/>
    </row>
    <row r="47" spans="1:36" ht="19.5" customHeight="1" x14ac:dyDescent="0.25">
      <c r="A47" s="9"/>
      <c r="B47"/>
      <c r="C47"/>
      <c r="D47" s="40"/>
      <c r="E47" s="1"/>
      <c r="F47" s="1"/>
      <c r="G47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36" ht="19.5" customHeight="1" x14ac:dyDescent="0.25">
      <c r="A48" s="9"/>
      <c r="B48"/>
      <c r="C48"/>
      <c r="D48" s="40"/>
      <c r="E48" s="1"/>
      <c r="F48" s="1"/>
      <c r="G48"/>
      <c r="H48" s="40"/>
      <c r="J48" s="1"/>
      <c r="K48" s="1"/>
      <c r="L48" s="1"/>
      <c r="M48" s="1"/>
      <c r="N48" s="1"/>
      <c r="O48" s="1"/>
      <c r="P48" s="1"/>
      <c r="Q48" s="1"/>
      <c r="R48" s="1"/>
    </row>
    <row r="49" spans="1:18" ht="19.5" customHeight="1" x14ac:dyDescent="0.25">
      <c r="A49" s="9"/>
      <c r="B49"/>
      <c r="C49"/>
      <c r="D49" s="40"/>
      <c r="E49" s="1"/>
      <c r="F49" s="1"/>
      <c r="G49"/>
      <c r="H49" s="40"/>
      <c r="I49" s="1"/>
      <c r="J49" s="97"/>
      <c r="K49" s="97"/>
      <c r="L49" s="97"/>
      <c r="M49" s="97"/>
      <c r="N49" s="97"/>
      <c r="O49" s="97"/>
      <c r="P49" s="97"/>
      <c r="Q49" s="97"/>
      <c r="R49" s="97"/>
    </row>
    <row r="50" spans="1:18" ht="19.5" customHeight="1" x14ac:dyDescent="0.25">
      <c r="A50" s="9"/>
      <c r="B50"/>
      <c r="C50"/>
      <c r="D50" s="40"/>
      <c r="E50" s="1"/>
      <c r="F50" s="1"/>
      <c r="G50"/>
      <c r="H50" s="40"/>
    </row>
    <row r="51" spans="1:18" ht="19.5" customHeight="1" x14ac:dyDescent="0.25">
      <c r="A51" s="9"/>
      <c r="B51"/>
      <c r="C51"/>
      <c r="D51" s="40"/>
      <c r="E51" s="1"/>
      <c r="F51" s="1"/>
      <c r="G51"/>
      <c r="H51" s="40"/>
    </row>
    <row r="52" spans="1:18" ht="19.5" customHeight="1" x14ac:dyDescent="0.25">
      <c r="A52" s="9"/>
      <c r="B52"/>
      <c r="C52"/>
      <c r="D52" s="40"/>
      <c r="E52" s="1"/>
      <c r="F52" s="1"/>
      <c r="G52"/>
      <c r="H52" s="40"/>
    </row>
    <row r="53" spans="1:18" ht="19.5" customHeight="1" x14ac:dyDescent="0.25">
      <c r="A53" s="9"/>
      <c r="B53"/>
      <c r="C53"/>
      <c r="D53" s="40"/>
      <c r="E53" s="1"/>
      <c r="F53" s="1"/>
      <c r="G53"/>
      <c r="H53" s="40"/>
    </row>
    <row r="54" spans="1:18" ht="19.5" customHeight="1" x14ac:dyDescent="0.25">
      <c r="A54" s="9"/>
      <c r="B54"/>
      <c r="C54"/>
      <c r="D54" s="40"/>
      <c r="E54" s="1"/>
      <c r="F54" s="1"/>
      <c r="G54"/>
      <c r="H54" s="40"/>
    </row>
    <row r="55" spans="1:18" ht="19.5" customHeight="1" x14ac:dyDescent="0.25">
      <c r="A55" s="9"/>
      <c r="B55"/>
      <c r="C55"/>
      <c r="D55" s="40"/>
      <c r="E55" s="1"/>
      <c r="F55" s="1"/>
      <c r="G55"/>
      <c r="H55" s="40"/>
    </row>
    <row r="56" spans="1:18" ht="19.5" customHeight="1" x14ac:dyDescent="0.25">
      <c r="A56" s="9"/>
      <c r="B56"/>
      <c r="C56"/>
      <c r="D56" s="40"/>
      <c r="E56" s="1"/>
      <c r="F56" s="1"/>
      <c r="G56"/>
      <c r="H56" s="40"/>
    </row>
    <row r="57" spans="1:18" ht="19.5" customHeight="1" x14ac:dyDescent="0.25">
      <c r="A57" s="9"/>
      <c r="B57"/>
      <c r="C57"/>
      <c r="D57" s="40"/>
      <c r="E57" s="1"/>
      <c r="F57" s="1"/>
      <c r="G57"/>
      <c r="H57" s="40"/>
    </row>
    <row r="58" spans="1:18" ht="19.5" customHeight="1" x14ac:dyDescent="0.25">
      <c r="A58" s="9"/>
      <c r="B58"/>
      <c r="C58"/>
      <c r="D58" s="40"/>
      <c r="E58" s="1"/>
      <c r="F58" s="1"/>
      <c r="G58"/>
      <c r="H58" s="40"/>
    </row>
    <row r="59" spans="1:18" ht="19.5" customHeight="1" x14ac:dyDescent="0.25">
      <c r="A59" s="9"/>
      <c r="B59"/>
      <c r="C59"/>
      <c r="D59" s="40"/>
      <c r="E59" s="1"/>
      <c r="F59" s="1"/>
      <c r="G59"/>
      <c r="H59" s="40"/>
    </row>
    <row r="60" spans="1:18" ht="19.5" customHeight="1" x14ac:dyDescent="0.25">
      <c r="A60" s="9"/>
      <c r="B60"/>
      <c r="C60"/>
      <c r="D60" s="40"/>
      <c r="E60" s="1"/>
      <c r="F60" s="1"/>
      <c r="G60"/>
      <c r="H60" s="40"/>
    </row>
    <row r="61" spans="1:18" ht="19.5" customHeight="1" x14ac:dyDescent="0.25">
      <c r="A61" s="9"/>
      <c r="B61"/>
      <c r="C61"/>
      <c r="D61" s="40"/>
      <c r="E61" s="1"/>
      <c r="F61" s="1"/>
      <c r="G61"/>
      <c r="H61" s="40"/>
    </row>
    <row r="62" spans="1:18" ht="19.5" customHeight="1" x14ac:dyDescent="0.25">
      <c r="A62" s="9"/>
      <c r="B62"/>
      <c r="C62"/>
      <c r="D62" s="40"/>
      <c r="E62" s="1"/>
      <c r="F62" s="1"/>
      <c r="G62"/>
      <c r="H62" s="40"/>
    </row>
    <row r="63" spans="1:18" ht="19.5" customHeight="1" x14ac:dyDescent="0.25">
      <c r="A63" s="9"/>
      <c r="B63"/>
      <c r="C63"/>
      <c r="D63" s="40"/>
      <c r="E63" s="1"/>
      <c r="F63" s="1"/>
      <c r="G63"/>
      <c r="H63" s="40"/>
    </row>
    <row r="64" spans="1:18" ht="19.5" customHeight="1" x14ac:dyDescent="0.25">
      <c r="A64" s="9"/>
      <c r="B64"/>
      <c r="C64"/>
      <c r="D64" s="40"/>
      <c r="E64" s="1"/>
      <c r="F64" s="1"/>
      <c r="G64"/>
      <c r="H64" s="40"/>
    </row>
    <row r="65" spans="1:8" ht="19.5" customHeight="1" x14ac:dyDescent="0.25">
      <c r="A65" s="9"/>
      <c r="B65"/>
      <c r="C65"/>
      <c r="D65" s="40"/>
      <c r="E65" s="1"/>
      <c r="F65" s="1"/>
      <c r="G65"/>
      <c r="H65" s="40"/>
    </row>
    <row r="66" spans="1:8" ht="19.5" customHeight="1" x14ac:dyDescent="0.25">
      <c r="A66" s="9"/>
      <c r="B66"/>
      <c r="C66"/>
      <c r="D66" s="40"/>
      <c r="E66" s="1"/>
      <c r="F66" s="1"/>
      <c r="G66"/>
      <c r="H66" s="40"/>
    </row>
    <row r="67" spans="1:8" ht="19.5" customHeight="1" x14ac:dyDescent="0.25">
      <c r="A67" s="9"/>
      <c r="B67"/>
      <c r="C67"/>
      <c r="D67" s="40"/>
      <c r="E67" s="1"/>
      <c r="F67" s="1"/>
      <c r="G67"/>
      <c r="H67" s="40"/>
    </row>
    <row r="68" spans="1:8" ht="19.5" customHeight="1" x14ac:dyDescent="0.25">
      <c r="A68" s="9"/>
      <c r="B68"/>
      <c r="C68"/>
      <c r="D68" s="40"/>
      <c r="E68" s="1"/>
      <c r="F68" s="1"/>
      <c r="G68"/>
      <c r="H68" s="40"/>
    </row>
    <row r="69" spans="1:8" ht="19.5" customHeight="1" x14ac:dyDescent="0.25">
      <c r="A69" s="9"/>
      <c r="B69"/>
      <c r="C69"/>
      <c r="D69" s="40"/>
      <c r="E69" s="1"/>
      <c r="F69" s="1"/>
      <c r="G69"/>
      <c r="H69" s="40"/>
    </row>
    <row r="70" spans="1:8" ht="19.5" customHeight="1" x14ac:dyDescent="0.25">
      <c r="A70" s="9"/>
      <c r="B70"/>
      <c r="C70"/>
      <c r="D70" s="40"/>
      <c r="E70" s="1"/>
      <c r="F70" s="1"/>
      <c r="G70"/>
      <c r="H70" s="40"/>
    </row>
    <row r="71" spans="1:8" ht="19.5" customHeight="1" x14ac:dyDescent="0.25">
      <c r="A71" s="9"/>
      <c r="B71"/>
      <c r="C71"/>
      <c r="D71" s="40"/>
      <c r="E71" s="1"/>
      <c r="F71" s="1"/>
      <c r="G71"/>
      <c r="H71" s="40"/>
    </row>
    <row r="72" spans="1:8" ht="19.5" customHeight="1" x14ac:dyDescent="0.25">
      <c r="A72" s="9"/>
      <c r="B72"/>
      <c r="C72"/>
      <c r="D72" s="40"/>
      <c r="E72" s="1"/>
      <c r="F72" s="1"/>
      <c r="G72"/>
      <c r="H72" s="40"/>
    </row>
    <row r="73" spans="1:8" ht="19.5" customHeight="1" x14ac:dyDescent="0.25">
      <c r="A73" s="9"/>
      <c r="B73"/>
      <c r="C73"/>
      <c r="D73" s="40"/>
      <c r="E73" s="1"/>
      <c r="F73" s="1"/>
      <c r="G73"/>
      <c r="H73" s="40"/>
    </row>
    <row r="74" spans="1:8" ht="19.5" customHeight="1" x14ac:dyDescent="0.25">
      <c r="A74" s="9"/>
      <c r="B74"/>
      <c r="C74"/>
      <c r="D74" s="40"/>
      <c r="E74" s="1"/>
      <c r="F74" s="1"/>
      <c r="G74"/>
      <c r="H74" s="40"/>
    </row>
    <row r="75" spans="1:8" ht="19.5" customHeight="1" x14ac:dyDescent="0.25">
      <c r="A75" s="9"/>
      <c r="B75"/>
      <c r="C75"/>
      <c r="D75" s="40"/>
      <c r="E75" s="1"/>
      <c r="F75" s="1"/>
      <c r="G75"/>
      <c r="H75" s="40"/>
    </row>
    <row r="76" spans="1:8" ht="19.5" customHeight="1" x14ac:dyDescent="0.25">
      <c r="A76" s="9"/>
      <c r="B76"/>
      <c r="C76"/>
      <c r="D76" s="40"/>
      <c r="E76" s="1"/>
      <c r="F76" s="1"/>
      <c r="G76"/>
      <c r="H76" s="40"/>
    </row>
    <row r="77" spans="1:8" ht="19.5" customHeight="1" x14ac:dyDescent="0.25">
      <c r="A77" s="9"/>
      <c r="B77"/>
      <c r="C77"/>
      <c r="D77" s="40"/>
      <c r="E77" s="1"/>
      <c r="F77" s="1"/>
      <c r="G77"/>
      <c r="H77" s="40"/>
    </row>
    <row r="78" spans="1:8" ht="19.5" customHeight="1" x14ac:dyDescent="0.25">
      <c r="A78" s="9"/>
      <c r="B78"/>
      <c r="C78"/>
      <c r="D78" s="40"/>
      <c r="E78" s="1"/>
      <c r="F78" s="1"/>
      <c r="G78"/>
      <c r="H78" s="40"/>
    </row>
    <row r="79" spans="1:8" ht="19.5" customHeight="1" x14ac:dyDescent="0.25">
      <c r="A79" s="9"/>
      <c r="B79"/>
      <c r="C79"/>
      <c r="D79" s="40"/>
      <c r="E79" s="1"/>
      <c r="F79" s="1"/>
      <c r="G79"/>
      <c r="H79" s="40"/>
    </row>
    <row r="80" spans="1:8" ht="19.5" customHeight="1" x14ac:dyDescent="0.25">
      <c r="A80" s="9"/>
      <c r="B80"/>
      <c r="C80"/>
      <c r="D80" s="40"/>
      <c r="E80" s="1"/>
      <c r="F80" s="1"/>
      <c r="G80"/>
      <c r="H80" s="40"/>
    </row>
    <row r="81" spans="1:8" ht="19.5" customHeight="1" x14ac:dyDescent="0.25">
      <c r="A81" s="9"/>
      <c r="B81"/>
      <c r="C81"/>
      <c r="D81" s="40"/>
      <c r="E81" s="1"/>
      <c r="F81" s="1"/>
      <c r="G81"/>
      <c r="H81" s="40"/>
    </row>
    <row r="82" spans="1:8" ht="19.5" customHeight="1" x14ac:dyDescent="0.25">
      <c r="A82" s="9"/>
      <c r="B82"/>
      <c r="C82"/>
      <c r="D82" s="40"/>
      <c r="E82" s="1"/>
      <c r="F82" s="1"/>
      <c r="G82"/>
      <c r="H82" s="40"/>
    </row>
    <row r="83" spans="1:8" ht="19.5" customHeight="1" x14ac:dyDescent="0.25">
      <c r="A83" s="9"/>
      <c r="B83"/>
      <c r="C83"/>
      <c r="D83" s="40"/>
      <c r="E83" s="1"/>
      <c r="F83" s="1"/>
      <c r="G83"/>
      <c r="H83" s="40"/>
    </row>
    <row r="84" spans="1:8" ht="19.5" customHeight="1" x14ac:dyDescent="0.25">
      <c r="A84" s="9"/>
      <c r="B84"/>
      <c r="C84"/>
      <c r="D84" s="40"/>
      <c r="E84" s="1"/>
      <c r="F84" s="1"/>
      <c r="G84"/>
      <c r="H84" s="40"/>
    </row>
    <row r="85" spans="1:8" ht="19.5" customHeight="1" x14ac:dyDescent="0.25">
      <c r="A85" s="9"/>
      <c r="B85"/>
      <c r="C85"/>
      <c r="D85" s="40"/>
      <c r="E85" s="1"/>
      <c r="F85" s="1"/>
      <c r="G85"/>
      <c r="H85" s="40"/>
    </row>
    <row r="86" spans="1:8" ht="19.5" customHeight="1" x14ac:dyDescent="0.25">
      <c r="A86" s="9"/>
      <c r="B86"/>
      <c r="C86"/>
      <c r="D86" s="40"/>
      <c r="E86" s="1"/>
      <c r="F86" s="1"/>
      <c r="G86"/>
      <c r="H86" s="40"/>
    </row>
    <row r="87" spans="1:8" ht="19.5" customHeight="1" x14ac:dyDescent="0.25">
      <c r="A87" s="9"/>
      <c r="B87"/>
      <c r="C87"/>
      <c r="D87" s="40"/>
      <c r="E87" s="1"/>
      <c r="F87" s="1"/>
      <c r="G87"/>
      <c r="H87" s="40"/>
    </row>
    <row r="88" spans="1:8" ht="19.5" customHeight="1" x14ac:dyDescent="0.25">
      <c r="A88" s="9"/>
      <c r="B88"/>
      <c r="C88"/>
      <c r="D88" s="40"/>
      <c r="E88" s="1"/>
      <c r="F88" s="1"/>
      <c r="G88"/>
      <c r="H88" s="40"/>
    </row>
    <row r="89" spans="1:8" ht="19.5" customHeight="1" x14ac:dyDescent="0.25">
      <c r="A89" s="9"/>
      <c r="B89"/>
      <c r="C89"/>
      <c r="D89" s="40"/>
      <c r="E89" s="1"/>
      <c r="F89" s="1"/>
      <c r="G89"/>
      <c r="H89" s="40"/>
    </row>
    <row r="90" spans="1:8" ht="19.5" customHeight="1" x14ac:dyDescent="0.25">
      <c r="A90" s="9"/>
      <c r="B90"/>
      <c r="C90"/>
      <c r="D90" s="40"/>
      <c r="E90" s="1"/>
      <c r="F90" s="1"/>
      <c r="G90"/>
      <c r="H90" s="40"/>
    </row>
    <row r="91" spans="1:8" ht="19.5" customHeight="1" x14ac:dyDescent="0.25">
      <c r="A91" s="9"/>
      <c r="B91"/>
      <c r="C91"/>
      <c r="D91" s="40"/>
      <c r="E91" s="1"/>
      <c r="F91" s="1"/>
      <c r="G91"/>
      <c r="H91" s="40"/>
    </row>
    <row r="92" spans="1:8" ht="19.5" customHeight="1" x14ac:dyDescent="0.25">
      <c r="A92" s="9"/>
      <c r="B92"/>
      <c r="C92"/>
      <c r="D92" s="40"/>
      <c r="E92" s="1"/>
      <c r="F92" s="1"/>
      <c r="G92"/>
      <c r="H92" s="40"/>
    </row>
    <row r="93" spans="1:8" ht="19.5" customHeight="1" x14ac:dyDescent="0.25">
      <c r="A93" s="9"/>
      <c r="B93"/>
      <c r="C93"/>
      <c r="D93" s="40"/>
      <c r="E93" s="1"/>
      <c r="F93" s="1"/>
      <c r="G93"/>
      <c r="H93" s="40"/>
    </row>
    <row r="94" spans="1:8" ht="19.5" customHeight="1" x14ac:dyDescent="0.25">
      <c r="A94" s="9"/>
      <c r="B94"/>
      <c r="C94"/>
      <c r="D94" s="40"/>
      <c r="E94" s="1"/>
      <c r="F94" s="1"/>
      <c r="G94"/>
      <c r="H94" s="40"/>
    </row>
    <row r="95" spans="1:8" ht="19.5" customHeight="1" x14ac:dyDescent="0.25">
      <c r="A95" s="9"/>
      <c r="B95"/>
      <c r="C95"/>
      <c r="D95" s="40"/>
      <c r="E95" s="1"/>
      <c r="F95" s="1"/>
      <c r="G95"/>
      <c r="H95" s="40"/>
    </row>
    <row r="96" spans="1:8" ht="19.5" customHeight="1" x14ac:dyDescent="0.25">
      <c r="A96" s="9"/>
      <c r="B96"/>
      <c r="C96"/>
      <c r="D96" s="40"/>
      <c r="E96" s="1"/>
      <c r="F96" s="1"/>
      <c r="G96"/>
      <c r="H96" s="40"/>
    </row>
    <row r="97" spans="1:8" ht="19.5" customHeight="1" x14ac:dyDescent="0.25">
      <c r="A97" s="9"/>
      <c r="B97"/>
      <c r="C97"/>
      <c r="D97" s="40"/>
      <c r="E97" s="1"/>
      <c r="F97" s="1"/>
      <c r="G97"/>
      <c r="H97" s="40"/>
    </row>
    <row r="98" spans="1:8" ht="19.5" customHeight="1" x14ac:dyDescent="0.25">
      <c r="A98" s="9"/>
      <c r="B98"/>
      <c r="C98"/>
      <c r="D98" s="40"/>
      <c r="E98" s="1"/>
      <c r="F98" s="1"/>
      <c r="G98"/>
      <c r="H98" s="40"/>
    </row>
    <row r="99" spans="1:8" ht="19.5" customHeight="1" x14ac:dyDescent="0.25">
      <c r="A99" s="9"/>
      <c r="B99"/>
      <c r="C99"/>
      <c r="D99" s="40"/>
      <c r="E99" s="1"/>
      <c r="F99" s="1"/>
      <c r="G99"/>
      <c r="H99" s="40"/>
    </row>
    <row r="100" spans="1:8" ht="19.5" customHeight="1" x14ac:dyDescent="0.25">
      <c r="A100" s="9"/>
      <c r="B100"/>
      <c r="C100"/>
      <c r="D100" s="40"/>
      <c r="E100" s="1"/>
      <c r="F100" s="1"/>
      <c r="G100"/>
      <c r="H100" s="40"/>
    </row>
    <row r="101" spans="1:8" ht="19.5" customHeight="1" x14ac:dyDescent="0.25">
      <c r="A101" t="s">
        <v>6</v>
      </c>
      <c r="B101">
        <f>SUBTOTAL(103,TbInvesSteam[Descrição])</f>
        <v>13</v>
      </c>
      <c r="C101"/>
      <c r="D101" s="40">
        <f>SUBTOTAL(109,TbInvesSteam[Quantidade])</f>
        <v>178</v>
      </c>
      <c r="E101" s="1">
        <f>SUBTOTAL(109,TbInvesSteam[Valor aplicado:])</f>
        <v>808.73</v>
      </c>
      <c r="F101" s="1">
        <f>SUBTOTAL(109,TbInvesSteam[Valor Lucrado:])</f>
        <v>1650</v>
      </c>
      <c r="G101"/>
      <c r="H101" s="40"/>
    </row>
  </sheetData>
  <phoneticPr fontId="8" type="noConversion"/>
  <hyperlinks>
    <hyperlink ref="AI1" location="INÍCIO!A1" display="INÍCIO" xr:uid="{C52A0276-F0DB-4B30-875D-18A4675DA5B5}"/>
    <hyperlink ref="D1" location="SAÍDA!A1" display="SAÍDA" xr:uid="{C7CC8420-C626-4D12-8ADF-A6CBBE2C9074}"/>
    <hyperlink ref="C1" location="ENTRADAS!A1" display="ENTRADAS" xr:uid="{575C31A1-6839-4DC9-9059-40A40FEC0598}"/>
    <hyperlink ref="B1" location="ITAÚ!A1" display="ITAÚ" xr:uid="{EAD74FCA-F06A-4F66-B120-C123CE9A5658}"/>
    <hyperlink ref="A1" location="MP!A1" display="MP" xr:uid="{B5808715-4785-495E-A69F-DF50CF7EF254}"/>
    <hyperlink ref="E1" location="INVESTIMENTO!A1" display="INVESTIMENTO" xr:uid="{5373DB56-515A-48EE-B9BE-4BA26F212019}"/>
    <hyperlink ref="G1" location="DEVO!A1" display="DEVO" xr:uid="{ED00DECC-3D3B-46AA-92B2-ECED9FC0C8FD}"/>
    <hyperlink ref="F1" location="DEVEM!A1" display="DEVEM" xr:uid="{27AFB6EC-12A6-4581-86BA-E4138A930A94}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E96AB-1BFE-4A44-AB64-C772531FC0F8}">
  <sheetPr codeName="Planilha11"/>
  <dimension ref="G2:P34"/>
  <sheetViews>
    <sheetView workbookViewId="0">
      <selection activeCell="M11" sqref="M11"/>
    </sheetView>
  </sheetViews>
  <sheetFormatPr defaultRowHeight="15" x14ac:dyDescent="0.25"/>
  <cols>
    <col min="1" max="1" width="10.7109375" bestFit="1" customWidth="1"/>
    <col min="3" max="3" width="11.85546875" bestFit="1" customWidth="1"/>
    <col min="4" max="4" width="12.85546875" customWidth="1"/>
    <col min="5" max="5" width="11" customWidth="1"/>
    <col min="6" max="6" width="14" customWidth="1"/>
    <col min="7" max="7" width="13.28515625" customWidth="1"/>
    <col min="8" max="8" width="14" customWidth="1"/>
    <col min="9" max="9" width="13.28515625" bestFit="1" customWidth="1"/>
    <col min="10" max="10" width="12.140625" bestFit="1" customWidth="1"/>
    <col min="11" max="11" width="10.42578125" customWidth="1"/>
    <col min="12" max="14" width="10.5703125" bestFit="1" customWidth="1"/>
    <col min="15" max="15" width="10.42578125" customWidth="1"/>
    <col min="16" max="16" width="12.140625" bestFit="1" customWidth="1"/>
    <col min="18" max="18" width="12" customWidth="1"/>
    <col min="19" max="19" width="11.140625" bestFit="1" customWidth="1"/>
    <col min="20" max="20" width="14.140625" bestFit="1" customWidth="1"/>
    <col min="21" max="21" width="9.42578125" customWidth="1"/>
    <col min="22" max="22" width="12.85546875" customWidth="1"/>
    <col min="23" max="23" width="10.5703125" bestFit="1" customWidth="1"/>
  </cols>
  <sheetData>
    <row r="2" spans="7:16" x14ac:dyDescent="0.25">
      <c r="G2" s="148"/>
      <c r="H2" s="148"/>
    </row>
    <row r="3" spans="7:16" x14ac:dyDescent="0.25">
      <c r="G3" t="s">
        <v>234</v>
      </c>
      <c r="H3" t="s">
        <v>233</v>
      </c>
      <c r="I3" t="s">
        <v>78</v>
      </c>
      <c r="J3" t="s">
        <v>232</v>
      </c>
      <c r="K3" t="s">
        <v>430</v>
      </c>
      <c r="L3" t="s">
        <v>231</v>
      </c>
      <c r="M3" t="s">
        <v>229</v>
      </c>
      <c r="N3" t="s">
        <v>230</v>
      </c>
      <c r="O3" t="s">
        <v>227</v>
      </c>
      <c r="P3" t="s">
        <v>6</v>
      </c>
    </row>
    <row r="4" spans="7:16" x14ac:dyDescent="0.25">
      <c r="G4" s="1">
        <f>Tabela2[[#This Row],[Condominio]]+Tabela2[[#This Row],[Luz]]+Tabela2[[#This Row],[Gás]]</f>
        <v>699.62999999999988</v>
      </c>
      <c r="H4" s="154">
        <v>0</v>
      </c>
      <c r="I4" s="166">
        <v>46032</v>
      </c>
      <c r="J4" s="165">
        <v>0</v>
      </c>
      <c r="K4" s="165"/>
      <c r="L4" s="165">
        <v>605.28</v>
      </c>
      <c r="M4" s="165">
        <v>67.040000000000006</v>
      </c>
      <c r="N4" s="165">
        <v>27.31</v>
      </c>
      <c r="O4" s="165">
        <v>0</v>
      </c>
      <c r="P4" s="100">
        <f>SUM(Tabela2[[#This Row],[Mercado]:[Internet]])</f>
        <v>699.62999999999988</v>
      </c>
    </row>
    <row r="5" spans="7:16" x14ac:dyDescent="0.25">
      <c r="G5" s="1">
        <f>605.28+92.23</f>
        <v>697.51</v>
      </c>
      <c r="H5" s="1">
        <f>99.99+40.47</f>
        <v>140.45999999999998</v>
      </c>
      <c r="I5" s="167">
        <v>46063</v>
      </c>
      <c r="J5" s="165">
        <v>0</v>
      </c>
      <c r="K5" s="165"/>
      <c r="L5" s="165">
        <v>605.28</v>
      </c>
      <c r="M5" s="165">
        <v>92.23</v>
      </c>
      <c r="N5" s="165">
        <v>40.47</v>
      </c>
      <c r="O5" s="165">
        <v>99.99</v>
      </c>
      <c r="P5" s="100">
        <f>SUM(Tabela2[[#This Row],[Mercado]:[Internet]])</f>
        <v>837.97</v>
      </c>
    </row>
    <row r="6" spans="7:16" x14ac:dyDescent="0.25">
      <c r="G6" s="1">
        <f>Tabela2[[#This Row],[Condominio]]+Tabela2[[#This Row],[Gás]]+Tabela2[[#This Row],[Luz]]</f>
        <v>759.61999999999989</v>
      </c>
      <c r="H6" s="1">
        <f>Tabela2[[#This Row],[Mercado]]+Tabela2[[#This Row],[Internet]]</f>
        <v>984.95</v>
      </c>
      <c r="I6" s="166">
        <v>46091</v>
      </c>
      <c r="J6" s="165">
        <f>301.24+12.06+217.28+209.63+32.98+111.77</f>
        <v>884.96</v>
      </c>
      <c r="K6" s="165"/>
      <c r="L6" s="165">
        <v>605.28</v>
      </c>
      <c r="M6" s="165">
        <v>113.57</v>
      </c>
      <c r="N6" s="165">
        <f>N5+0.3</f>
        <v>40.769999999999996</v>
      </c>
      <c r="O6" s="165">
        <v>99.99</v>
      </c>
      <c r="P6" s="100">
        <f>SUM(Tabela2[[#This Row],[Mercado]:[Internet]])</f>
        <v>1744.57</v>
      </c>
    </row>
    <row r="7" spans="7:16" x14ac:dyDescent="0.25">
      <c r="G7" s="1">
        <f>Tabela2[[#This Row],[Condominio]]+Tabela2[[#This Row],[Gás]]+Tabela2[[#This Row],[Luz]]+Tabela2[[#This Row],[Internet]]</f>
        <v>836.07</v>
      </c>
      <c r="H7" s="1">
        <f>Tabela2[[#This Row],[Mercado]]</f>
        <v>488.84000000000003</v>
      </c>
      <c r="I7" s="167">
        <v>46122</v>
      </c>
      <c r="J7" s="165">
        <f>99.66+124.4+91.4+173.38</f>
        <v>488.84000000000003</v>
      </c>
      <c r="K7" s="165"/>
      <c r="L7" s="165">
        <v>605.28</v>
      </c>
      <c r="M7" s="165">
        <v>103.34</v>
      </c>
      <c r="N7" s="165">
        <v>27.46</v>
      </c>
      <c r="O7" s="165">
        <v>99.99</v>
      </c>
      <c r="P7" s="100">
        <f>SUM(Tabela2[[#This Row],[Mercado]:[Internet]])</f>
        <v>1324.9099999999999</v>
      </c>
    </row>
    <row r="8" spans="7:16" x14ac:dyDescent="0.25">
      <c r="G8" s="1">
        <f>Tabela2[[#This Row],[Condominio]]+Tabela2[[#This Row],[Gás]]+Tabela2[[#This Row],[Luz]]+Tabela2[[#This Row],[Internet]]</f>
        <v>846.08</v>
      </c>
      <c r="H8" s="1">
        <f>SUM(Tabela2[[#This Row],[Mercado]])</f>
        <v>1029.1799999999998</v>
      </c>
      <c r="I8" s="166">
        <v>46152</v>
      </c>
      <c r="J8" s="165">
        <f>223.02+249.86+80+142.16+202.15+131.99</f>
        <v>1029.1799999999998</v>
      </c>
      <c r="K8" s="165"/>
      <c r="L8" s="165">
        <v>605.28</v>
      </c>
      <c r="M8" s="165">
        <v>125.22</v>
      </c>
      <c r="N8" s="165">
        <v>15.59</v>
      </c>
      <c r="O8" s="165">
        <v>99.99</v>
      </c>
      <c r="P8" s="100">
        <f>SUM(Tabela2[[#This Row],[Mercado]:[Internet]])</f>
        <v>1875.2599999999998</v>
      </c>
    </row>
    <row r="9" spans="7:16" x14ac:dyDescent="0.25">
      <c r="G9" s="1">
        <f>Tabela2[[#This Row],[Condominio]]+Tabela2[[#This Row],[Gás]]+Tabela2[[#This Row],[Luz]]+Tabela2[[#This Row],[Internet]]+Tabela2[[#This Row],[Vaga]]</f>
        <v>1026.8699999999999</v>
      </c>
      <c r="H9" s="1">
        <f>SUM(Tabela2[[#This Row],[Mercado]])</f>
        <v>686.04</v>
      </c>
      <c r="I9" s="167">
        <v>46183</v>
      </c>
      <c r="J9" s="1">
        <f>217.06+288.07+180.91</f>
        <v>686.04</v>
      </c>
      <c r="K9" s="165">
        <v>120</v>
      </c>
      <c r="L9" s="165">
        <v>605.28</v>
      </c>
      <c r="M9" s="1">
        <v>173.96</v>
      </c>
      <c r="N9" s="165">
        <v>27.64</v>
      </c>
      <c r="O9" s="1">
        <v>99.99</v>
      </c>
      <c r="P9" s="100">
        <f>SUM(Tabela2[[#This Row],[Mercado]:[Internet]])</f>
        <v>1712.91</v>
      </c>
    </row>
    <row r="10" spans="7:16" x14ac:dyDescent="0.25">
      <c r="G10" s="1"/>
      <c r="H10" s="1"/>
      <c r="I10" s="166">
        <v>46213</v>
      </c>
      <c r="J10" s="1"/>
      <c r="K10" s="1"/>
      <c r="L10" s="1"/>
      <c r="M10" s="1"/>
      <c r="N10" s="1"/>
      <c r="O10" s="1"/>
      <c r="P10" s="100">
        <f>SUM(Tabela2[[#This Row],[Mercado]:[Internet]])</f>
        <v>0</v>
      </c>
    </row>
    <row r="11" spans="7:16" x14ac:dyDescent="0.25">
      <c r="G11" s="1"/>
      <c r="H11" s="1"/>
      <c r="I11" s="167">
        <v>46244</v>
      </c>
      <c r="J11" s="1"/>
      <c r="K11" s="1"/>
      <c r="L11" s="1"/>
      <c r="M11" s="1"/>
      <c r="N11" s="1"/>
      <c r="O11" s="1"/>
      <c r="P11" s="100">
        <f>SUM(Tabela2[[#This Row],[Mercado]:[Internet]])</f>
        <v>0</v>
      </c>
    </row>
    <row r="12" spans="7:16" x14ac:dyDescent="0.25">
      <c r="G12" s="1"/>
      <c r="H12" s="1"/>
      <c r="I12" s="166">
        <v>46275</v>
      </c>
      <c r="J12" s="1"/>
      <c r="K12" s="1"/>
      <c r="L12" s="1"/>
      <c r="M12" s="1"/>
      <c r="N12" s="1"/>
      <c r="O12" s="1"/>
      <c r="P12" s="100">
        <f>SUM(Tabela2[[#This Row],[Mercado]:[Internet]])</f>
        <v>0</v>
      </c>
    </row>
    <row r="13" spans="7:16" x14ac:dyDescent="0.25">
      <c r="G13" s="1"/>
      <c r="H13" s="1"/>
      <c r="I13" s="167">
        <v>46305</v>
      </c>
      <c r="J13" s="1"/>
      <c r="K13" s="1"/>
      <c r="L13" s="1"/>
      <c r="M13" s="1"/>
      <c r="N13" s="1"/>
      <c r="O13" s="1"/>
      <c r="P13" s="100">
        <f>SUM(Tabela2[[#This Row],[Mercado]:[Internet]])</f>
        <v>0</v>
      </c>
    </row>
    <row r="14" spans="7:16" x14ac:dyDescent="0.25">
      <c r="G14" s="1"/>
      <c r="H14" s="1"/>
      <c r="I14" s="166">
        <v>46336</v>
      </c>
      <c r="J14" s="1"/>
      <c r="K14" s="1"/>
      <c r="L14" s="1"/>
      <c r="M14" s="1"/>
      <c r="N14" s="1"/>
      <c r="O14" s="1"/>
      <c r="P14" s="100">
        <f>SUM(Tabela2[[#This Row],[Mercado]:[Internet]])</f>
        <v>0</v>
      </c>
    </row>
    <row r="15" spans="7:16" x14ac:dyDescent="0.25">
      <c r="G15" s="1"/>
      <c r="H15" s="1"/>
      <c r="I15" s="167">
        <v>46366</v>
      </c>
      <c r="J15" s="1"/>
      <c r="K15" s="1"/>
      <c r="L15" s="1"/>
      <c r="M15" s="1"/>
      <c r="N15" s="1"/>
      <c r="O15" s="1"/>
      <c r="P15" s="100">
        <f>SUM(Tabela2[[#This Row],[Mercado]:[Internet]])</f>
        <v>0</v>
      </c>
    </row>
    <row r="16" spans="7:16" x14ac:dyDescent="0.25">
      <c r="G16" s="1"/>
      <c r="H16" s="1"/>
      <c r="I16" s="166">
        <v>46397</v>
      </c>
      <c r="J16" s="1"/>
      <c r="K16" s="1"/>
      <c r="L16" s="1"/>
      <c r="M16" s="1"/>
      <c r="N16" s="1"/>
      <c r="O16" s="1"/>
      <c r="P16" s="100">
        <f>SUM(Tabela2[[#This Row],[Mercado]:[Internet]])</f>
        <v>0</v>
      </c>
    </row>
    <row r="17" spans="7:16" x14ac:dyDescent="0.25">
      <c r="G17" s="1"/>
      <c r="H17" s="1"/>
      <c r="I17" s="167">
        <v>46428</v>
      </c>
      <c r="J17" s="1"/>
      <c r="K17" s="1"/>
      <c r="L17" s="1"/>
      <c r="M17" s="1"/>
      <c r="N17" s="1"/>
      <c r="O17" s="1"/>
      <c r="P17" s="100">
        <f>SUM(Tabela2[[#This Row],[Mercado]:[Internet]])</f>
        <v>0</v>
      </c>
    </row>
    <row r="18" spans="7:16" x14ac:dyDescent="0.25">
      <c r="G18" s="1"/>
      <c r="H18" s="1"/>
      <c r="I18" s="166">
        <v>46456</v>
      </c>
      <c r="J18" s="1"/>
      <c r="K18" s="1"/>
      <c r="L18" s="1"/>
      <c r="M18" s="1"/>
      <c r="N18" s="1"/>
      <c r="O18" s="1"/>
      <c r="P18" s="100">
        <f>SUM(Tabela2[[#This Row],[Mercado]:[Internet]])</f>
        <v>0</v>
      </c>
    </row>
    <row r="19" spans="7:16" x14ac:dyDescent="0.25">
      <c r="G19" s="1"/>
      <c r="H19" s="1"/>
      <c r="I19" s="167">
        <v>46487</v>
      </c>
      <c r="J19" s="1"/>
      <c r="K19" s="1"/>
      <c r="L19" s="1"/>
      <c r="M19" s="1"/>
      <c r="N19" s="1"/>
      <c r="O19" s="1"/>
      <c r="P19" s="100">
        <f>SUM(Tabela2[[#This Row],[Mercado]:[Internet]])</f>
        <v>0</v>
      </c>
    </row>
    <row r="20" spans="7:16" x14ac:dyDescent="0.25">
      <c r="G20" s="1"/>
      <c r="H20" s="1"/>
      <c r="I20" s="166">
        <v>46517</v>
      </c>
      <c r="J20" s="1"/>
      <c r="K20" s="1"/>
      <c r="L20" s="1"/>
      <c r="M20" s="1"/>
      <c r="N20" s="1"/>
      <c r="O20" s="1"/>
      <c r="P20" s="100">
        <f>SUM(Tabela2[[#This Row],[Mercado]:[Internet]])</f>
        <v>0</v>
      </c>
    </row>
    <row r="21" spans="7:16" x14ac:dyDescent="0.25">
      <c r="G21" s="1"/>
      <c r="H21" s="1"/>
      <c r="I21" s="167">
        <v>46548</v>
      </c>
      <c r="J21" s="1"/>
      <c r="K21" s="1"/>
      <c r="L21" s="1"/>
      <c r="M21" s="1"/>
      <c r="N21" s="1"/>
      <c r="O21" s="1"/>
      <c r="P21" s="100">
        <f>SUM(Tabela2[[#This Row],[Mercado]:[Internet]])</f>
        <v>0</v>
      </c>
    </row>
    <row r="22" spans="7:16" x14ac:dyDescent="0.25">
      <c r="G22" s="1"/>
      <c r="H22" s="1"/>
      <c r="I22" s="166">
        <v>46578</v>
      </c>
      <c r="J22" s="1"/>
      <c r="K22" s="1"/>
      <c r="L22" s="1"/>
      <c r="M22" s="1"/>
      <c r="N22" s="1"/>
      <c r="O22" s="1"/>
      <c r="P22" s="100">
        <f>SUM(Tabela2[[#This Row],[Mercado]:[Internet]])</f>
        <v>0</v>
      </c>
    </row>
    <row r="23" spans="7:16" x14ac:dyDescent="0.25">
      <c r="G23" s="1"/>
      <c r="H23" s="1"/>
      <c r="I23" s="167">
        <v>46609</v>
      </c>
      <c r="J23" s="1"/>
      <c r="K23" s="1"/>
      <c r="L23" s="1"/>
      <c r="M23" s="1"/>
      <c r="N23" s="1"/>
      <c r="O23" s="1"/>
      <c r="P23" s="100">
        <f>SUM(Tabela2[[#This Row],[Mercado]:[Internet]])</f>
        <v>0</v>
      </c>
    </row>
    <row r="24" spans="7:16" x14ac:dyDescent="0.25">
      <c r="G24" s="1"/>
      <c r="H24" s="1"/>
      <c r="I24" s="166">
        <v>46640</v>
      </c>
      <c r="J24" s="1"/>
      <c r="K24" s="1"/>
      <c r="L24" s="1"/>
      <c r="M24" s="1"/>
      <c r="N24" s="1"/>
      <c r="O24" s="1"/>
      <c r="P24" s="100">
        <f>SUM(Tabela2[[#This Row],[Mercado]:[Internet]])</f>
        <v>0</v>
      </c>
    </row>
    <row r="25" spans="7:16" x14ac:dyDescent="0.25">
      <c r="G25" s="1"/>
      <c r="H25" s="1"/>
      <c r="I25" s="167">
        <v>46670</v>
      </c>
      <c r="J25" s="1"/>
      <c r="K25" s="1"/>
      <c r="L25" s="1"/>
      <c r="M25" s="1"/>
      <c r="N25" s="1"/>
      <c r="O25" s="1"/>
      <c r="P25" s="100">
        <f>SUM(Tabela2[[#This Row],[Mercado]:[Internet]])</f>
        <v>0</v>
      </c>
    </row>
    <row r="26" spans="7:16" x14ac:dyDescent="0.25">
      <c r="G26" s="1"/>
      <c r="H26" s="1"/>
      <c r="I26" s="166">
        <v>46701</v>
      </c>
      <c r="J26" s="1"/>
      <c r="K26" s="1"/>
      <c r="L26" s="1"/>
      <c r="M26" s="1"/>
      <c r="N26" s="1"/>
      <c r="O26" s="1"/>
      <c r="P26" s="100">
        <f>SUM(Tabela2[[#This Row],[Mercado]:[Internet]])</f>
        <v>0</v>
      </c>
    </row>
    <row r="27" spans="7:16" x14ac:dyDescent="0.25">
      <c r="G27" s="1"/>
      <c r="H27" s="1"/>
      <c r="I27" s="167">
        <v>46731</v>
      </c>
      <c r="J27" s="1"/>
      <c r="K27" s="1"/>
      <c r="L27" s="1"/>
      <c r="M27" s="1"/>
      <c r="N27" s="1"/>
      <c r="O27" s="1"/>
      <c r="P27" s="100">
        <f>SUM(Tabela2[[#This Row],[Mercado]:[Internet]])</f>
        <v>0</v>
      </c>
    </row>
    <row r="28" spans="7:16" x14ac:dyDescent="0.25">
      <c r="G28" s="1"/>
      <c r="H28" s="1"/>
      <c r="I28" s="166">
        <v>46762</v>
      </c>
      <c r="J28" s="1"/>
      <c r="K28" s="1"/>
      <c r="L28" s="1"/>
      <c r="M28" s="1"/>
      <c r="N28" s="1"/>
      <c r="O28" s="1"/>
      <c r="P28" s="100">
        <f>SUM(Tabela2[[#This Row],[Mercado]:[Internet]])</f>
        <v>0</v>
      </c>
    </row>
    <row r="29" spans="7:16" x14ac:dyDescent="0.25">
      <c r="G29" s="1"/>
      <c r="H29" s="1"/>
      <c r="I29" s="167">
        <v>46793</v>
      </c>
      <c r="J29" s="1"/>
      <c r="K29" s="1"/>
      <c r="L29" s="1"/>
      <c r="M29" s="1"/>
      <c r="N29" s="1"/>
      <c r="O29" s="1"/>
      <c r="P29" s="100">
        <f>SUM(Tabela2[[#This Row],[Mercado]:[Internet]])</f>
        <v>0</v>
      </c>
    </row>
    <row r="30" spans="7:16" x14ac:dyDescent="0.25">
      <c r="G30" s="1"/>
      <c r="H30" s="1"/>
      <c r="I30" s="166">
        <v>46822</v>
      </c>
      <c r="J30" s="1"/>
      <c r="K30" s="1"/>
      <c r="L30" s="1"/>
      <c r="M30" s="1"/>
      <c r="N30" s="1"/>
      <c r="O30" s="1"/>
      <c r="P30" s="100">
        <f>SUM(Tabela2[[#This Row],[Mercado]:[Internet]])</f>
        <v>0</v>
      </c>
    </row>
    <row r="31" spans="7:16" x14ac:dyDescent="0.25">
      <c r="G31" s="1"/>
      <c r="H31" s="1"/>
      <c r="I31" s="167">
        <v>46853</v>
      </c>
      <c r="J31" s="1"/>
      <c r="K31" s="1"/>
      <c r="L31" s="1"/>
      <c r="M31" s="1"/>
      <c r="N31" s="1"/>
      <c r="O31" s="1"/>
      <c r="P31" s="100">
        <f>SUM(Tabela2[[#This Row],[Mercado]:[Internet]])</f>
        <v>0</v>
      </c>
    </row>
    <row r="32" spans="7:16" x14ac:dyDescent="0.25">
      <c r="G32" s="1"/>
      <c r="H32" s="1"/>
      <c r="I32" s="166">
        <v>46883</v>
      </c>
      <c r="J32" s="1"/>
      <c r="K32" s="1"/>
      <c r="L32" s="1"/>
      <c r="M32" s="1"/>
      <c r="N32" s="1"/>
      <c r="O32" s="1"/>
      <c r="P32" s="100">
        <f>SUM(Tabela2[[#This Row],[Mercado]:[Internet]])</f>
        <v>0</v>
      </c>
    </row>
    <row r="33" spans="7:16" x14ac:dyDescent="0.25">
      <c r="G33" s="1"/>
      <c r="H33" s="1"/>
      <c r="I33" s="167">
        <v>46914</v>
      </c>
      <c r="J33" s="1"/>
      <c r="K33" s="1"/>
      <c r="L33" s="1"/>
      <c r="M33" s="1"/>
      <c r="N33" s="1"/>
      <c r="O33" s="1"/>
      <c r="P33" s="100">
        <f>SUM(Tabela2[[#This Row],[Mercado]:[Internet]])</f>
        <v>0</v>
      </c>
    </row>
    <row r="34" spans="7:16" x14ac:dyDescent="0.25">
      <c r="G34" s="1"/>
      <c r="H34" s="1"/>
      <c r="I34" s="166">
        <v>46944</v>
      </c>
      <c r="J34" s="1"/>
      <c r="K34" s="1"/>
      <c r="L34" s="1"/>
      <c r="M34" s="1"/>
      <c r="N34" s="1"/>
      <c r="O34" s="1"/>
      <c r="P34" s="100">
        <f>SUM(Tabela2[[#This Row],[Mercado]:[Internet]])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50822-8271-457C-9CDC-207406947FBD}">
  <sheetPr codeName="Planilha7">
    <tabColor theme="8" tint="0.39997558519241921"/>
  </sheetPr>
  <dimension ref="A1:P36"/>
  <sheetViews>
    <sheetView showGridLines="0" workbookViewId="0">
      <selection activeCell="D10" sqref="D10"/>
    </sheetView>
  </sheetViews>
  <sheetFormatPr defaultRowHeight="17.45" customHeight="1" x14ac:dyDescent="0.25"/>
  <cols>
    <col min="1" max="1" width="21" bestFit="1" customWidth="1"/>
    <col min="2" max="2" width="14.42578125" customWidth="1"/>
    <col min="3" max="3" width="19" bestFit="1" customWidth="1"/>
    <col min="4" max="4" width="45" bestFit="1" customWidth="1"/>
    <col min="5" max="5" width="33.42578125" bestFit="1" customWidth="1"/>
    <col min="6" max="6" width="13.28515625" bestFit="1" customWidth="1"/>
    <col min="7" max="7" width="33.42578125" bestFit="1" customWidth="1"/>
    <col min="8" max="8" width="12.140625" bestFit="1" customWidth="1"/>
    <col min="9" max="9" width="19.42578125" bestFit="1" customWidth="1"/>
    <col min="10" max="10" width="7.7109375" bestFit="1" customWidth="1"/>
    <col min="11" max="11" width="12.140625" bestFit="1" customWidth="1"/>
    <col min="12" max="12" width="0.7109375" customWidth="1"/>
    <col min="13" max="13" width="10.85546875" customWidth="1"/>
    <col min="14" max="14" width="14.140625" customWidth="1"/>
    <col min="16" max="16" width="6.28515625" customWidth="1"/>
    <col min="17" max="17" width="8.42578125" customWidth="1"/>
  </cols>
  <sheetData>
    <row r="1" spans="1:16" ht="17.45" customHeight="1" x14ac:dyDescent="0.25">
      <c r="A1" s="5" t="s">
        <v>58</v>
      </c>
      <c r="B1" s="6" t="s">
        <v>0</v>
      </c>
      <c r="C1" s="24" t="s">
        <v>4</v>
      </c>
      <c r="D1" s="26" t="s">
        <v>27</v>
      </c>
      <c r="E1" s="52" t="s">
        <v>32</v>
      </c>
      <c r="F1" s="44" t="s">
        <v>40</v>
      </c>
      <c r="G1" s="76" t="s">
        <v>39</v>
      </c>
      <c r="H1" s="4"/>
      <c r="I1" s="4"/>
      <c r="J1" s="4"/>
      <c r="K1" s="4"/>
      <c r="L1" s="4"/>
      <c r="M1" s="4"/>
      <c r="N1" s="31" t="s">
        <v>28</v>
      </c>
      <c r="O1" s="4"/>
      <c r="P1" s="29"/>
    </row>
    <row r="2" spans="1:16" ht="33" customHeight="1" x14ac:dyDescent="0.25">
      <c r="A2" s="84" t="s">
        <v>41</v>
      </c>
      <c r="B2" s="85"/>
      <c r="D2" s="1"/>
      <c r="E2" s="1"/>
      <c r="F2" s="1"/>
      <c r="I2" s="1"/>
      <c r="K2" s="1"/>
    </row>
    <row r="3" spans="1:16" ht="17.45" customHeight="1" x14ac:dyDescent="0.25">
      <c r="A3" s="50"/>
      <c r="D3" s="187" t="s">
        <v>96</v>
      </c>
      <c r="E3" s="187"/>
      <c r="M3" s="186" t="s">
        <v>34</v>
      </c>
      <c r="N3" s="186"/>
    </row>
    <row r="4" spans="1:16" ht="17.45" customHeight="1" x14ac:dyDescent="0.25">
      <c r="A4" s="50"/>
      <c r="B4" s="34"/>
      <c r="C4" s="10"/>
      <c r="D4" s="105" t="s">
        <v>221</v>
      </c>
      <c r="E4" s="107">
        <v>1000</v>
      </c>
      <c r="H4" s="34"/>
      <c r="I4" s="10"/>
      <c r="K4" s="9"/>
      <c r="M4" s="186"/>
      <c r="N4" s="186"/>
    </row>
    <row r="5" spans="1:16" ht="17.45" customHeight="1" x14ac:dyDescent="0.25">
      <c r="A5" s="50"/>
      <c r="B5" s="47"/>
      <c r="C5" s="10"/>
      <c r="H5" s="47"/>
      <c r="I5" s="10"/>
      <c r="M5" s="186"/>
      <c r="N5" s="186"/>
    </row>
    <row r="6" spans="1:16" ht="17.45" customHeight="1" x14ac:dyDescent="0.25">
      <c r="A6" s="51"/>
      <c r="B6" s="34"/>
      <c r="C6" s="10"/>
      <c r="M6" s="48"/>
      <c r="N6" s="48"/>
    </row>
    <row r="7" spans="1:16" ht="17.45" customHeight="1" x14ac:dyDescent="0.25">
      <c r="A7" s="51"/>
      <c r="B7" s="34"/>
      <c r="C7" s="10"/>
      <c r="M7" s="48"/>
      <c r="N7" s="48"/>
    </row>
    <row r="8" spans="1:16" ht="17.45" customHeight="1" x14ac:dyDescent="0.25">
      <c r="A8" s="51"/>
      <c r="B8" s="34"/>
      <c r="C8" s="104"/>
      <c r="M8" s="49"/>
      <c r="N8" s="49"/>
    </row>
    <row r="9" spans="1:16" ht="17.45" customHeight="1" x14ac:dyDescent="0.25">
      <c r="A9" s="51"/>
      <c r="B9" s="34"/>
      <c r="C9" s="10"/>
      <c r="M9" s="49"/>
      <c r="N9" s="49"/>
    </row>
    <row r="10" spans="1:16" ht="17.45" customHeight="1" x14ac:dyDescent="0.25">
      <c r="A10" s="51"/>
      <c r="B10" s="34"/>
      <c r="C10" s="10"/>
      <c r="M10" s="49"/>
      <c r="N10" s="49"/>
    </row>
    <row r="11" spans="1:16" ht="17.45" customHeight="1" x14ac:dyDescent="0.25">
      <c r="A11" s="51"/>
      <c r="B11" s="34"/>
      <c r="C11" s="10"/>
      <c r="M11" s="49"/>
      <c r="N11" s="49"/>
    </row>
    <row r="12" spans="1:16" ht="17.45" customHeight="1" x14ac:dyDescent="0.25">
      <c r="A12" s="51"/>
      <c r="B12" s="34"/>
      <c r="C12" s="10"/>
      <c r="M12" s="49"/>
      <c r="N12" s="49"/>
    </row>
    <row r="13" spans="1:16" ht="17.45" customHeight="1" x14ac:dyDescent="0.25">
      <c r="A13" s="51"/>
      <c r="B13" s="34"/>
      <c r="C13" s="10"/>
    </row>
    <row r="14" spans="1:16" ht="17.45" customHeight="1" x14ac:dyDescent="0.25">
      <c r="A14" s="51"/>
      <c r="B14" s="34"/>
      <c r="C14" s="10"/>
      <c r="E14" s="1"/>
    </row>
    <row r="15" spans="1:16" ht="17.45" customHeight="1" x14ac:dyDescent="0.25">
      <c r="A15" s="51"/>
      <c r="B15" s="34"/>
      <c r="C15" s="10"/>
      <c r="E15" s="1"/>
    </row>
    <row r="16" spans="1:16" ht="17.45" customHeight="1" x14ac:dyDescent="0.25">
      <c r="A16" s="51"/>
      <c r="B16" s="34"/>
      <c r="C16" s="10"/>
      <c r="E16" s="1"/>
      <c r="H16" s="34"/>
      <c r="I16" s="10"/>
    </row>
    <row r="17" spans="1:11" ht="17.45" customHeight="1" x14ac:dyDescent="0.25">
      <c r="A17" s="51"/>
      <c r="B17" s="46"/>
      <c r="C17" s="35"/>
      <c r="E17" s="1"/>
      <c r="H17" s="46"/>
      <c r="I17" s="35"/>
    </row>
    <row r="18" spans="1:11" ht="17.45" customHeight="1" x14ac:dyDescent="0.25">
      <c r="A18" s="55"/>
      <c r="B18" s="16"/>
      <c r="E18" s="1"/>
      <c r="H18" s="16"/>
    </row>
    <row r="19" spans="1:11" ht="17.45" customHeight="1" x14ac:dyDescent="0.25">
      <c r="E19" s="1"/>
    </row>
    <row r="20" spans="1:11" ht="17.45" customHeight="1" x14ac:dyDescent="0.25">
      <c r="E20" s="1"/>
    </row>
    <row r="21" spans="1:11" ht="17.45" customHeight="1" x14ac:dyDescent="0.25">
      <c r="B21" s="34"/>
      <c r="C21" s="10"/>
      <c r="E21" s="9"/>
      <c r="H21" s="34"/>
      <c r="I21" s="10"/>
      <c r="K21" s="9"/>
    </row>
    <row r="22" spans="1:11" ht="17.45" customHeight="1" x14ac:dyDescent="0.25">
      <c r="B22" s="47"/>
      <c r="C22" s="10"/>
      <c r="E22" s="9"/>
      <c r="H22" s="47"/>
      <c r="I22" s="10"/>
    </row>
    <row r="23" spans="1:11" ht="17.45" customHeight="1" x14ac:dyDescent="0.25">
      <c r="A23" s="10"/>
      <c r="B23" s="34"/>
      <c r="C23" s="10"/>
      <c r="G23" s="10"/>
      <c r="H23" s="16"/>
      <c r="I23" s="10"/>
      <c r="K23" s="9"/>
    </row>
    <row r="24" spans="1:11" ht="17.45" customHeight="1" x14ac:dyDescent="0.25">
      <c r="A24" s="10"/>
      <c r="B24" s="34"/>
      <c r="C24" s="10"/>
      <c r="G24" s="10"/>
      <c r="H24" s="34"/>
      <c r="I24" s="10"/>
    </row>
    <row r="25" spans="1:11" ht="17.45" customHeight="1" x14ac:dyDescent="0.25">
      <c r="A25" s="10"/>
      <c r="B25" s="34"/>
      <c r="C25" s="10"/>
      <c r="G25" s="10"/>
      <c r="H25" s="46"/>
      <c r="I25" s="35"/>
    </row>
    <row r="26" spans="1:11" ht="17.45" customHeight="1" x14ac:dyDescent="0.25">
      <c r="A26" s="10"/>
      <c r="B26" s="34"/>
      <c r="C26" s="10"/>
      <c r="G26" s="89"/>
      <c r="H26" s="16"/>
      <c r="K26" s="1"/>
    </row>
    <row r="27" spans="1:11" ht="17.45" customHeight="1" x14ac:dyDescent="0.25">
      <c r="A27" s="10"/>
      <c r="B27" s="34"/>
      <c r="C27" s="10"/>
    </row>
    <row r="28" spans="1:11" ht="17.45" customHeight="1" x14ac:dyDescent="0.25">
      <c r="A28" s="10"/>
      <c r="B28" s="34"/>
      <c r="C28" s="10"/>
    </row>
    <row r="29" spans="1:11" ht="17.45" customHeight="1" x14ac:dyDescent="0.25">
      <c r="A29" s="10"/>
      <c r="B29" s="34"/>
      <c r="C29" s="10"/>
    </row>
    <row r="30" spans="1:11" ht="17.45" customHeight="1" x14ac:dyDescent="0.25">
      <c r="A30" s="10"/>
      <c r="B30" s="34"/>
      <c r="C30" s="10"/>
    </row>
    <row r="31" spans="1:11" ht="17.45" customHeight="1" x14ac:dyDescent="0.25">
      <c r="A31" s="10"/>
      <c r="B31" s="34"/>
      <c r="C31" s="10"/>
    </row>
    <row r="32" spans="1:11" ht="17.45" customHeight="1" x14ac:dyDescent="0.25">
      <c r="A32" s="10"/>
      <c r="B32" s="34"/>
      <c r="C32" s="10"/>
    </row>
    <row r="33" spans="1:3" ht="17.45" customHeight="1" x14ac:dyDescent="0.25">
      <c r="A33" s="10"/>
      <c r="B33" s="34"/>
      <c r="C33" s="10"/>
    </row>
    <row r="34" spans="1:3" ht="17.45" customHeight="1" x14ac:dyDescent="0.25">
      <c r="A34" s="10"/>
      <c r="B34" s="34"/>
      <c r="C34" s="10"/>
    </row>
    <row r="35" spans="1:3" ht="17.45" customHeight="1" x14ac:dyDescent="0.25">
      <c r="A35" s="10"/>
      <c r="B35" s="46"/>
      <c r="C35" s="35"/>
    </row>
    <row r="36" spans="1:3" ht="17.45" customHeight="1" x14ac:dyDescent="0.25">
      <c r="A36" s="89"/>
      <c r="B36" s="16"/>
    </row>
  </sheetData>
  <mergeCells count="2">
    <mergeCell ref="M3:N5"/>
    <mergeCell ref="D3:E3"/>
  </mergeCells>
  <phoneticPr fontId="8" type="noConversion"/>
  <dataValidations count="1">
    <dataValidation type="list" allowBlank="1" showInputMessage="1" sqref="I23:I24 C21 C23:C34 I21 C9:C16 I4:I5 I16 C4:C7" xr:uid="{5094FF61-EB1B-4A27-98C0-C3497D5DBDB9}">
      <formula1>"INTER,INEVES.INTER,ITAÚ"</formula1>
    </dataValidation>
  </dataValidations>
  <hyperlinks>
    <hyperlink ref="A1" location="MP!A1" display="MP" xr:uid="{9F67EC0E-D88D-4660-A605-37E377598B53}"/>
    <hyperlink ref="B1" location="ITAÚ!A1" display="ITAÚ" xr:uid="{F5B81E39-EB49-4BD0-88DF-3F20C4BDB377}"/>
    <hyperlink ref="C1" location="ENTRADAS!A1" display="ENTRADAS" xr:uid="{8DC0628A-AEF8-46DE-B181-616B4D476734}"/>
    <hyperlink ref="N1" location="INÍCIO!A1" display="INÍCIO" xr:uid="{6FDE9CF5-C6F3-4E50-9C20-B8DE906B7D36}"/>
    <hyperlink ref="E1" location="INVESTIMENTO!A1" display="INVESTIMENTO" xr:uid="{3C9C05DF-B30C-486C-8DA9-9E826B395877}"/>
    <hyperlink ref="G1" location="DEVO!A1" display="DEVO" xr:uid="{53E0EEE0-56E4-4B32-8B58-DEEF7214599F}"/>
    <hyperlink ref="F1" location="DEVEM!A1" display="DEVEM" xr:uid="{1F96CB96-38BD-406F-9456-2E61A5A88BAA}"/>
    <hyperlink ref="D1" location="SAÍDA!A1" display="SAÍDA" xr:uid="{2BCD8ACF-B53B-4260-9480-BF1DBA03E855}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5C0D-C0BF-4D6D-A151-74613CAFAECA}">
  <sheetPr codeName="Planilha8">
    <tabColor theme="7" tint="-0.499984740745262"/>
  </sheetPr>
  <dimension ref="A1:G24"/>
  <sheetViews>
    <sheetView workbookViewId="0">
      <selection activeCell="C16" sqref="C16"/>
    </sheetView>
  </sheetViews>
  <sheetFormatPr defaultRowHeight="15" x14ac:dyDescent="0.25"/>
  <cols>
    <col min="1" max="1" width="16.85546875" bestFit="1" customWidth="1"/>
    <col min="2" max="2" width="11.42578125" customWidth="1"/>
    <col min="3" max="3" width="19" bestFit="1" customWidth="1"/>
    <col min="4" max="4" width="15.5703125" bestFit="1" customWidth="1"/>
    <col min="5" max="5" width="18.5703125" customWidth="1"/>
    <col min="6" max="6" width="13.5703125" customWidth="1"/>
    <col min="7" max="7" width="16.85546875" bestFit="1" customWidth="1"/>
    <col min="8" max="8" width="12.140625" customWidth="1"/>
    <col min="9" max="9" width="20.5703125" customWidth="1"/>
    <col min="10" max="11" width="16.42578125" customWidth="1"/>
  </cols>
  <sheetData>
    <row r="1" spans="1:7" s="75" customFormat="1" ht="21.75" customHeight="1" x14ac:dyDescent="0.25">
      <c r="A1" s="5" t="s">
        <v>58</v>
      </c>
      <c r="B1" s="6" t="s">
        <v>0</v>
      </c>
      <c r="C1" s="24" t="s">
        <v>4</v>
      </c>
      <c r="D1" s="78" t="s">
        <v>27</v>
      </c>
      <c r="E1" s="52" t="s">
        <v>32</v>
      </c>
      <c r="F1" s="43" t="s">
        <v>40</v>
      </c>
      <c r="G1" s="77" t="s">
        <v>39</v>
      </c>
    </row>
    <row r="2" spans="1:7" ht="26.25" x14ac:dyDescent="0.25">
      <c r="A2" s="86" t="s">
        <v>42</v>
      </c>
      <c r="B2" s="85">
        <v>0</v>
      </c>
    </row>
    <row r="5" spans="1:7" x14ac:dyDescent="0.25">
      <c r="A5" s="10"/>
      <c r="E5" s="1"/>
    </row>
    <row r="6" spans="1:7" x14ac:dyDescent="0.25">
      <c r="A6" s="50"/>
      <c r="B6" s="47"/>
      <c r="C6" s="10"/>
    </row>
    <row r="7" spans="1:7" x14ac:dyDescent="0.25">
      <c r="A7" s="51"/>
      <c r="B7" s="10"/>
      <c r="C7" s="10"/>
    </row>
    <row r="8" spans="1:7" x14ac:dyDescent="0.25">
      <c r="A8" s="51"/>
      <c r="B8" s="34"/>
      <c r="C8" s="10"/>
    </row>
    <row r="9" spans="1:7" x14ac:dyDescent="0.25">
      <c r="A9" s="51"/>
      <c r="B9" s="34"/>
      <c r="C9" s="10"/>
    </row>
    <row r="10" spans="1:7" x14ac:dyDescent="0.25">
      <c r="A10" s="51"/>
      <c r="B10" s="34"/>
      <c r="C10" s="10"/>
    </row>
    <row r="11" spans="1:7" x14ac:dyDescent="0.25">
      <c r="A11" s="51"/>
      <c r="B11" s="34"/>
      <c r="C11" s="10"/>
    </row>
    <row r="12" spans="1:7" x14ac:dyDescent="0.25">
      <c r="A12" s="51"/>
      <c r="B12" s="34"/>
      <c r="C12" s="10"/>
    </row>
    <row r="13" spans="1:7" x14ac:dyDescent="0.25">
      <c r="A13" s="51"/>
      <c r="B13" s="34"/>
      <c r="C13" s="10"/>
    </row>
    <row r="14" spans="1:7" x14ac:dyDescent="0.25">
      <c r="A14" s="51"/>
      <c r="B14" s="34"/>
      <c r="C14" s="10"/>
    </row>
    <row r="15" spans="1:7" x14ac:dyDescent="0.25">
      <c r="A15" s="51"/>
      <c r="B15" s="34"/>
      <c r="C15" s="10"/>
    </row>
    <row r="16" spans="1:7" x14ac:dyDescent="0.25">
      <c r="A16" s="51"/>
      <c r="B16" s="34"/>
      <c r="C16" s="10"/>
    </row>
    <row r="17" spans="1:5" x14ac:dyDescent="0.25">
      <c r="A17" s="51"/>
      <c r="B17" s="34"/>
      <c r="C17" s="10"/>
      <c r="D17" s="10"/>
      <c r="E17" s="96"/>
    </row>
    <row r="18" spans="1:5" x14ac:dyDescent="0.25">
      <c r="A18" s="51"/>
      <c r="B18" s="34"/>
      <c r="C18" s="10"/>
      <c r="D18" s="10"/>
      <c r="E18" s="96"/>
    </row>
    <row r="19" spans="1:5" x14ac:dyDescent="0.25">
      <c r="A19" s="51"/>
      <c r="B19" s="46"/>
      <c r="C19" s="35"/>
      <c r="D19" s="10"/>
      <c r="E19" s="96"/>
    </row>
    <row r="20" spans="1:5" x14ac:dyDescent="0.25">
      <c r="A20" s="55"/>
      <c r="B20" s="16"/>
      <c r="E20" s="96"/>
    </row>
    <row r="21" spans="1:5" x14ac:dyDescent="0.25">
      <c r="E21" s="96"/>
    </row>
    <row r="22" spans="1:5" x14ac:dyDescent="0.25">
      <c r="E22" s="96"/>
    </row>
    <row r="23" spans="1:5" x14ac:dyDescent="0.25">
      <c r="E23" s="96"/>
    </row>
    <row r="24" spans="1:5" x14ac:dyDescent="0.25">
      <c r="E24" s="96"/>
    </row>
  </sheetData>
  <dataValidations count="1">
    <dataValidation type="list" allowBlank="1" showInputMessage="1" sqref="A5 B7 C8:C18" xr:uid="{B63C6791-8B02-4498-9AE7-A4DF7D707136}">
      <formula1>"INTER,INEVES.INTER,ITAÚ"</formula1>
    </dataValidation>
  </dataValidations>
  <hyperlinks>
    <hyperlink ref="A1" location="MP!A1" display="MP" xr:uid="{4038ABBB-B0A4-41EA-9B8B-0B115D472953}"/>
    <hyperlink ref="B1" location="ITAÚ!A1" display="ITAÚ" xr:uid="{6604C798-FA53-49F2-96CA-2759BBBFD05D}"/>
    <hyperlink ref="C1" location="ENTRADAS!A1" display="ENTRADAS" xr:uid="{B9B6B2AE-AD2A-43F5-8AE9-AEB2BFB12EF6}"/>
    <hyperlink ref="E1" location="INVESTIMENTO!A1" display="INVESTIMENTO" xr:uid="{9F8E5F8D-14A8-4753-A396-6FFA985D9052}"/>
    <hyperlink ref="F1" location="DEVEM!A1" display="DEVEM" xr:uid="{84158EBB-3C2A-4C55-81DA-DAAB116A7614}"/>
    <hyperlink ref="G1" location="DEVO!A1" display="DEVO" xr:uid="{CC4996B8-5E12-4232-A2B8-50CA50F8189A}"/>
    <hyperlink ref="D1" location="SAÍDA!A1" display="SAÍDA" xr:uid="{E9B60723-3F4C-4773-A009-A4590D2F7737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9546-316B-4696-8470-B4D5C3D8A838}">
  <sheetPr codeName="Planilha4"/>
  <dimension ref="A2:N71"/>
  <sheetViews>
    <sheetView workbookViewId="0">
      <selection activeCell="B20" sqref="B20"/>
    </sheetView>
  </sheetViews>
  <sheetFormatPr defaultRowHeight="15" x14ac:dyDescent="0.25"/>
  <cols>
    <col min="1" max="1" width="7.140625" style="105" bestFit="1" customWidth="1"/>
    <col min="2" max="2" width="42.140625" style="105" customWidth="1"/>
    <col min="3" max="3" width="16.5703125" style="105" bestFit="1" customWidth="1"/>
    <col min="4" max="4" width="6.7109375" style="110" customWidth="1"/>
    <col min="5" max="5" width="11.140625" style="105" customWidth="1"/>
    <col min="6" max="6" width="51.42578125" style="105" bestFit="1" customWidth="1"/>
    <col min="7" max="7" width="12.140625" style="105" bestFit="1" customWidth="1"/>
    <col min="8" max="8" width="6.7109375" style="110" customWidth="1"/>
    <col min="9" max="9" width="11.5703125" style="105" customWidth="1"/>
    <col min="10" max="10" width="20.28515625" style="105" bestFit="1" customWidth="1"/>
    <col min="11" max="11" width="12.28515625" style="135" bestFit="1" customWidth="1"/>
    <col min="12" max="12" width="22.28515625" style="137" customWidth="1"/>
    <col min="13" max="13" width="9.140625" style="105"/>
    <col min="14" max="14" width="12.140625" style="105" bestFit="1" customWidth="1"/>
    <col min="15" max="16384" width="9.140625" style="105"/>
  </cols>
  <sheetData>
    <row r="2" spans="1:14" x14ac:dyDescent="0.25">
      <c r="A2" s="105" t="s">
        <v>148</v>
      </c>
      <c r="E2" s="105" t="s">
        <v>174</v>
      </c>
      <c r="G2" s="107"/>
      <c r="I2" s="105" t="s">
        <v>150</v>
      </c>
    </row>
    <row r="3" spans="1:14" x14ac:dyDescent="0.25">
      <c r="A3" s="112" t="s">
        <v>149</v>
      </c>
      <c r="B3" s="112" t="s">
        <v>30</v>
      </c>
      <c r="C3" s="113" t="s">
        <v>75</v>
      </c>
      <c r="E3" s="105" t="s">
        <v>78</v>
      </c>
      <c r="F3" s="105" t="s">
        <v>30</v>
      </c>
      <c r="G3" s="115" t="s">
        <v>79</v>
      </c>
      <c r="I3" s="133" t="s">
        <v>153</v>
      </c>
      <c r="J3" s="133" t="s">
        <v>30</v>
      </c>
      <c r="K3" s="136" t="s">
        <v>151</v>
      </c>
      <c r="L3" s="138" t="s">
        <v>152</v>
      </c>
      <c r="N3" s="105" t="s">
        <v>184</v>
      </c>
    </row>
    <row r="4" spans="1:14" x14ac:dyDescent="0.25">
      <c r="A4" s="105">
        <v>1</v>
      </c>
      <c r="B4" s="105" t="s">
        <v>186</v>
      </c>
      <c r="C4" s="107">
        <v>300</v>
      </c>
      <c r="E4" s="116">
        <v>45680</v>
      </c>
      <c r="F4" s="118" t="s">
        <v>97</v>
      </c>
      <c r="G4" s="111">
        <v>60</v>
      </c>
      <c r="I4" s="106">
        <v>46031</v>
      </c>
      <c r="J4" s="105" t="s">
        <v>158</v>
      </c>
      <c r="K4" s="139" t="s">
        <v>426</v>
      </c>
      <c r="L4" s="149" t="s">
        <v>428</v>
      </c>
      <c r="N4" s="140">
        <v>140</v>
      </c>
    </row>
    <row r="5" spans="1:14" x14ac:dyDescent="0.25">
      <c r="A5" s="105">
        <v>2</v>
      </c>
      <c r="B5" s="105" t="s">
        <v>182</v>
      </c>
      <c r="C5" s="107">
        <v>20</v>
      </c>
      <c r="E5" s="106">
        <v>45680</v>
      </c>
      <c r="F5" s="114" t="s">
        <v>98</v>
      </c>
      <c r="G5" s="107">
        <v>60</v>
      </c>
      <c r="I5" s="106">
        <v>46031</v>
      </c>
      <c r="J5" s="105" t="s">
        <v>155</v>
      </c>
      <c r="K5" s="139" t="s">
        <v>254</v>
      </c>
      <c r="L5" s="149" t="s">
        <v>255</v>
      </c>
      <c r="N5" s="140">
        <v>48</v>
      </c>
    </row>
    <row r="6" spans="1:14" x14ac:dyDescent="0.25">
      <c r="A6" s="105">
        <v>3</v>
      </c>
      <c r="B6" s="105" t="s">
        <v>147</v>
      </c>
      <c r="C6" s="107">
        <v>100</v>
      </c>
      <c r="E6" s="106">
        <v>45680</v>
      </c>
      <c r="F6" s="114" t="s">
        <v>99</v>
      </c>
      <c r="G6" s="107">
        <v>180</v>
      </c>
      <c r="I6" s="106">
        <v>46031</v>
      </c>
      <c r="J6" s="105" t="s">
        <v>156</v>
      </c>
      <c r="K6" s="139" t="s">
        <v>254</v>
      </c>
      <c r="L6" s="149" t="s">
        <v>255</v>
      </c>
      <c r="N6" s="140">
        <v>26</v>
      </c>
    </row>
    <row r="7" spans="1:14" x14ac:dyDescent="0.25">
      <c r="A7" s="105">
        <v>4</v>
      </c>
      <c r="B7" s="105" t="s">
        <v>180</v>
      </c>
      <c r="C7" s="107">
        <v>25</v>
      </c>
      <c r="E7" s="106">
        <v>45679</v>
      </c>
      <c r="F7" s="114" t="s">
        <v>87</v>
      </c>
      <c r="G7" s="188">
        <v>3000</v>
      </c>
      <c r="I7" s="106">
        <v>46031</v>
      </c>
      <c r="J7" s="105" t="s">
        <v>157</v>
      </c>
      <c r="K7" s="139" t="s">
        <v>426</v>
      </c>
      <c r="L7" s="149" t="s">
        <v>427</v>
      </c>
      <c r="N7" s="140">
        <v>56</v>
      </c>
    </row>
    <row r="8" spans="1:14" x14ac:dyDescent="0.25">
      <c r="A8" s="105">
        <v>5</v>
      </c>
      <c r="B8" s="105" t="s">
        <v>181</v>
      </c>
      <c r="C8" s="107">
        <v>200</v>
      </c>
      <c r="E8" s="106">
        <v>45679</v>
      </c>
      <c r="F8" s="114" t="s">
        <v>80</v>
      </c>
      <c r="G8" s="189"/>
      <c r="I8" s="106">
        <v>46030</v>
      </c>
      <c r="J8" s="105" t="s">
        <v>88</v>
      </c>
      <c r="K8" s="139" t="s">
        <v>254</v>
      </c>
      <c r="L8" s="149" t="s">
        <v>256</v>
      </c>
      <c r="N8" s="140">
        <v>32</v>
      </c>
    </row>
    <row r="9" spans="1:14" x14ac:dyDescent="0.25">
      <c r="A9" s="105">
        <v>6</v>
      </c>
      <c r="B9" s="105" t="s">
        <v>369</v>
      </c>
      <c r="C9" s="107">
        <v>300</v>
      </c>
      <c r="E9" s="106">
        <v>45679</v>
      </c>
      <c r="F9" s="114" t="s">
        <v>82</v>
      </c>
      <c r="G9" s="189"/>
      <c r="I9" s="106">
        <v>45770</v>
      </c>
      <c r="J9" s="105" t="s">
        <v>169</v>
      </c>
      <c r="K9" s="135" t="s">
        <v>164</v>
      </c>
      <c r="L9" s="137" t="s">
        <v>165</v>
      </c>
      <c r="N9" s="140">
        <v>1200</v>
      </c>
    </row>
    <row r="10" spans="1:14" x14ac:dyDescent="0.25">
      <c r="A10" s="105">
        <v>7</v>
      </c>
      <c r="B10" s="108" t="s">
        <v>76</v>
      </c>
      <c r="C10" s="107">
        <v>200</v>
      </c>
      <c r="E10" s="106">
        <v>45679</v>
      </c>
      <c r="F10" s="114" t="s">
        <v>81</v>
      </c>
      <c r="G10" s="189"/>
      <c r="I10" s="106">
        <v>45925</v>
      </c>
      <c r="J10" s="105" t="s">
        <v>159</v>
      </c>
      <c r="K10" s="135" t="s">
        <v>177</v>
      </c>
      <c r="L10" s="137" t="s">
        <v>178</v>
      </c>
      <c r="N10" s="140">
        <v>213</v>
      </c>
    </row>
    <row r="11" spans="1:14" x14ac:dyDescent="0.25">
      <c r="A11" s="105">
        <v>8</v>
      </c>
      <c r="B11" s="108" t="s">
        <v>110</v>
      </c>
      <c r="C11" s="107" t="s">
        <v>109</v>
      </c>
      <c r="E11" s="106">
        <v>45679</v>
      </c>
      <c r="F11" s="114" t="s">
        <v>84</v>
      </c>
      <c r="G11" s="189"/>
      <c r="I11" s="106">
        <v>45680</v>
      </c>
      <c r="J11" s="105" t="s">
        <v>97</v>
      </c>
      <c r="K11" s="134" t="s">
        <v>420</v>
      </c>
      <c r="L11" s="137" t="s">
        <v>192</v>
      </c>
      <c r="N11" s="140">
        <v>60</v>
      </c>
    </row>
    <row r="12" spans="1:14" x14ac:dyDescent="0.25">
      <c r="A12" s="105">
        <v>9</v>
      </c>
      <c r="B12" s="105" t="s">
        <v>111</v>
      </c>
      <c r="C12" s="107">
        <v>350</v>
      </c>
      <c r="E12" s="106">
        <v>45679</v>
      </c>
      <c r="F12" s="114" t="s">
        <v>83</v>
      </c>
      <c r="G12" s="189"/>
      <c r="I12" s="106">
        <v>45680</v>
      </c>
      <c r="J12" s="105" t="s">
        <v>161</v>
      </c>
      <c r="K12" s="134" t="s">
        <v>420</v>
      </c>
      <c r="L12" s="137" t="s">
        <v>192</v>
      </c>
      <c r="N12" s="140">
        <v>80</v>
      </c>
    </row>
    <row r="13" spans="1:14" x14ac:dyDescent="0.25">
      <c r="A13" s="105">
        <v>10</v>
      </c>
      <c r="B13" s="105" t="s">
        <v>112</v>
      </c>
      <c r="C13" s="107" t="s">
        <v>109</v>
      </c>
      <c r="E13" s="106">
        <v>45679</v>
      </c>
      <c r="F13" s="114" t="s">
        <v>85</v>
      </c>
      <c r="G13" s="190"/>
      <c r="I13" s="106">
        <v>45680</v>
      </c>
      <c r="J13" s="105" t="s">
        <v>162</v>
      </c>
      <c r="K13" s="134">
        <v>45680</v>
      </c>
      <c r="L13" s="137" t="s">
        <v>160</v>
      </c>
      <c r="N13" s="140">
        <v>200</v>
      </c>
    </row>
    <row r="14" spans="1:14" x14ac:dyDescent="0.25">
      <c r="A14" s="105">
        <v>12</v>
      </c>
      <c r="B14" s="108" t="s">
        <v>77</v>
      </c>
      <c r="C14" s="107">
        <v>10000</v>
      </c>
      <c r="E14" s="105">
        <v>2023</v>
      </c>
      <c r="F14" s="114" t="s">
        <v>86</v>
      </c>
      <c r="G14" s="107">
        <v>0</v>
      </c>
      <c r="I14" s="106">
        <v>45770</v>
      </c>
      <c r="J14" s="105" t="s">
        <v>163</v>
      </c>
      <c r="K14" s="135" t="s">
        <v>164</v>
      </c>
      <c r="L14" s="137" t="s">
        <v>165</v>
      </c>
      <c r="N14" s="140">
        <v>210</v>
      </c>
    </row>
    <row r="15" spans="1:14" x14ac:dyDescent="0.25">
      <c r="A15" s="105">
        <v>13</v>
      </c>
      <c r="B15" s="105" t="s">
        <v>120</v>
      </c>
      <c r="C15" s="107">
        <v>200</v>
      </c>
      <c r="E15" s="117">
        <v>45689</v>
      </c>
      <c r="F15" s="114" t="s">
        <v>88</v>
      </c>
      <c r="G15" s="107">
        <v>32</v>
      </c>
      <c r="I15" s="106">
        <v>45795</v>
      </c>
      <c r="J15" s="105" t="s">
        <v>166</v>
      </c>
      <c r="K15" s="139" t="s">
        <v>173</v>
      </c>
      <c r="L15" s="137" t="s">
        <v>172</v>
      </c>
      <c r="N15" s="140">
        <v>35</v>
      </c>
    </row>
    <row r="16" spans="1:14" x14ac:dyDescent="0.25">
      <c r="A16" s="105">
        <v>14</v>
      </c>
      <c r="B16" s="105" t="s">
        <v>121</v>
      </c>
      <c r="C16" s="107" t="s">
        <v>109</v>
      </c>
      <c r="E16" s="106">
        <v>45706</v>
      </c>
      <c r="F16" s="114" t="s">
        <v>101</v>
      </c>
      <c r="G16" s="107">
        <v>70</v>
      </c>
      <c r="I16" s="106">
        <v>45866</v>
      </c>
      <c r="J16" s="105" t="s">
        <v>145</v>
      </c>
      <c r="K16" s="135" t="s">
        <v>167</v>
      </c>
      <c r="L16" s="137" t="s">
        <v>168</v>
      </c>
      <c r="N16" s="140">
        <v>100</v>
      </c>
    </row>
    <row r="17" spans="1:14" x14ac:dyDescent="0.25">
      <c r="A17" s="105">
        <v>16</v>
      </c>
      <c r="B17" s="105" t="s">
        <v>140</v>
      </c>
      <c r="C17" s="107">
        <v>100</v>
      </c>
      <c r="E17" s="106">
        <v>45706</v>
      </c>
      <c r="F17" s="114" t="s">
        <v>100</v>
      </c>
      <c r="G17" s="107">
        <v>200</v>
      </c>
      <c r="I17" s="106">
        <v>46072</v>
      </c>
      <c r="J17" s="105" t="s">
        <v>171</v>
      </c>
      <c r="K17" s="135" t="s">
        <v>377</v>
      </c>
      <c r="L17" s="137" t="s">
        <v>378</v>
      </c>
      <c r="N17" s="140">
        <v>150</v>
      </c>
    </row>
    <row r="18" spans="1:14" x14ac:dyDescent="0.25">
      <c r="E18" s="106">
        <v>45706</v>
      </c>
      <c r="F18" s="114" t="s">
        <v>102</v>
      </c>
      <c r="G18" s="107">
        <v>40</v>
      </c>
      <c r="I18" s="117">
        <v>45717</v>
      </c>
      <c r="J18" s="105" t="s">
        <v>170</v>
      </c>
      <c r="K18" s="117">
        <v>45717</v>
      </c>
      <c r="L18" s="117">
        <v>46023</v>
      </c>
      <c r="N18" s="140">
        <v>50</v>
      </c>
    </row>
    <row r="19" spans="1:14" x14ac:dyDescent="0.25">
      <c r="E19" s="106">
        <v>45706</v>
      </c>
      <c r="F19" s="114" t="s">
        <v>103</v>
      </c>
      <c r="G19" s="107">
        <v>32</v>
      </c>
      <c r="I19" s="106">
        <v>46022</v>
      </c>
      <c r="J19" s="105" t="s">
        <v>217</v>
      </c>
      <c r="K19" s="106">
        <v>46022</v>
      </c>
      <c r="L19" s="106">
        <v>46387</v>
      </c>
      <c r="N19" s="140">
        <v>50</v>
      </c>
    </row>
    <row r="20" spans="1:14" x14ac:dyDescent="0.25">
      <c r="E20" s="106">
        <v>45711</v>
      </c>
      <c r="F20" s="114" t="s">
        <v>104</v>
      </c>
      <c r="G20" s="107">
        <v>213</v>
      </c>
      <c r="I20" s="106">
        <v>46063</v>
      </c>
      <c r="J20" s="105" t="s">
        <v>257</v>
      </c>
      <c r="K20" s="139" t="s">
        <v>367</v>
      </c>
      <c r="L20" s="137" t="s">
        <v>368</v>
      </c>
      <c r="N20" s="140">
        <v>1100</v>
      </c>
    </row>
    <row r="21" spans="1:14" x14ac:dyDescent="0.25">
      <c r="E21" s="117">
        <v>45717</v>
      </c>
      <c r="F21" s="114" t="s">
        <v>119</v>
      </c>
      <c r="G21" s="107">
        <v>30</v>
      </c>
      <c r="J21" s="105" t="s">
        <v>258</v>
      </c>
      <c r="K21" s="135" t="s">
        <v>260</v>
      </c>
      <c r="L21" s="137" t="s">
        <v>259</v>
      </c>
      <c r="N21" s="107">
        <v>300</v>
      </c>
    </row>
    <row r="22" spans="1:14" x14ac:dyDescent="0.25">
      <c r="E22" s="106">
        <v>45742</v>
      </c>
      <c r="F22" s="114" t="s">
        <v>123</v>
      </c>
      <c r="G22" s="107">
        <v>26</v>
      </c>
    </row>
    <row r="23" spans="1:14" x14ac:dyDescent="0.25">
      <c r="E23" s="106">
        <v>45742</v>
      </c>
      <c r="F23" s="114" t="s">
        <v>122</v>
      </c>
      <c r="G23" s="107">
        <v>335</v>
      </c>
    </row>
    <row r="24" spans="1:14" x14ac:dyDescent="0.25">
      <c r="E24" s="106">
        <v>45768</v>
      </c>
      <c r="F24" s="114" t="s">
        <v>125</v>
      </c>
      <c r="G24" s="107">
        <v>20.99</v>
      </c>
    </row>
    <row r="25" spans="1:14" x14ac:dyDescent="0.25">
      <c r="E25" s="106">
        <v>45770</v>
      </c>
      <c r="F25" s="114" t="s">
        <v>127</v>
      </c>
      <c r="G25" s="107">
        <v>210</v>
      </c>
    </row>
    <row r="26" spans="1:14" x14ac:dyDescent="0.25">
      <c r="E26" s="106">
        <v>45770</v>
      </c>
      <c r="F26" s="114" t="s">
        <v>128</v>
      </c>
      <c r="G26" s="107">
        <v>120</v>
      </c>
    </row>
    <row r="27" spans="1:14" x14ac:dyDescent="0.25">
      <c r="E27" s="106">
        <v>45770</v>
      </c>
      <c r="F27" s="114" t="s">
        <v>129</v>
      </c>
      <c r="G27" s="107">
        <v>540</v>
      </c>
    </row>
    <row r="28" spans="1:14" x14ac:dyDescent="0.25">
      <c r="E28" s="106">
        <v>45770</v>
      </c>
      <c r="F28" s="114" t="s">
        <v>130</v>
      </c>
      <c r="G28" s="107">
        <v>28</v>
      </c>
    </row>
    <row r="29" spans="1:14" x14ac:dyDescent="0.25">
      <c r="E29" s="106">
        <v>45770</v>
      </c>
      <c r="F29" s="114" t="s">
        <v>131</v>
      </c>
      <c r="G29" s="107">
        <v>50</v>
      </c>
    </row>
    <row r="30" spans="1:14" x14ac:dyDescent="0.25">
      <c r="E30" s="106">
        <v>45770</v>
      </c>
      <c r="F30" s="135" t="s">
        <v>132</v>
      </c>
      <c r="G30" s="107" t="s">
        <v>109</v>
      </c>
    </row>
    <row r="31" spans="1:14" x14ac:dyDescent="0.25">
      <c r="E31" s="106">
        <v>45777</v>
      </c>
      <c r="F31" s="135" t="s">
        <v>135</v>
      </c>
      <c r="G31" s="107">
        <v>110</v>
      </c>
    </row>
    <row r="32" spans="1:14" x14ac:dyDescent="0.25">
      <c r="E32" s="106">
        <v>45795</v>
      </c>
      <c r="F32" s="135" t="s">
        <v>136</v>
      </c>
      <c r="G32" s="107">
        <v>103</v>
      </c>
    </row>
    <row r="33" spans="5:7" x14ac:dyDescent="0.25">
      <c r="E33" s="106">
        <v>45841</v>
      </c>
      <c r="F33" s="135" t="s">
        <v>141</v>
      </c>
      <c r="G33" s="107">
        <v>131.18</v>
      </c>
    </row>
    <row r="34" spans="5:7" x14ac:dyDescent="0.25">
      <c r="E34" s="106">
        <v>45856</v>
      </c>
      <c r="F34" s="135" t="s">
        <v>142</v>
      </c>
      <c r="G34" s="107">
        <v>29.02</v>
      </c>
    </row>
    <row r="35" spans="5:7" x14ac:dyDescent="0.25">
      <c r="E35" s="106">
        <v>45857</v>
      </c>
      <c r="F35" s="135" t="s">
        <v>143</v>
      </c>
      <c r="G35" s="107">
        <v>117</v>
      </c>
    </row>
    <row r="36" spans="5:7" x14ac:dyDescent="0.25">
      <c r="E36" s="106">
        <v>45857</v>
      </c>
      <c r="F36" s="135" t="s">
        <v>154</v>
      </c>
      <c r="G36" s="107">
        <v>47.53</v>
      </c>
    </row>
    <row r="37" spans="5:7" x14ac:dyDescent="0.25">
      <c r="E37" s="106">
        <v>45862</v>
      </c>
      <c r="F37" s="135" t="s">
        <v>144</v>
      </c>
      <c r="G37" s="107">
        <v>32</v>
      </c>
    </row>
    <row r="38" spans="5:7" x14ac:dyDescent="0.25">
      <c r="E38" s="106">
        <v>45866</v>
      </c>
      <c r="F38" s="135" t="s">
        <v>145</v>
      </c>
      <c r="G38" s="107">
        <v>50</v>
      </c>
    </row>
    <row r="39" spans="5:7" x14ac:dyDescent="0.25">
      <c r="E39" s="106">
        <v>45866</v>
      </c>
      <c r="F39" s="135" t="s">
        <v>146</v>
      </c>
      <c r="G39" s="107">
        <v>25</v>
      </c>
    </row>
    <row r="40" spans="5:7" x14ac:dyDescent="0.25">
      <c r="E40" s="106">
        <v>45912</v>
      </c>
      <c r="F40" s="135" t="s">
        <v>175</v>
      </c>
      <c r="G40" s="107">
        <v>43.9</v>
      </c>
    </row>
    <row r="41" spans="5:7" x14ac:dyDescent="0.25">
      <c r="E41" s="106">
        <v>45925</v>
      </c>
      <c r="F41" s="135" t="s">
        <v>159</v>
      </c>
      <c r="G41" s="188">
        <v>565</v>
      </c>
    </row>
    <row r="42" spans="5:7" x14ac:dyDescent="0.25">
      <c r="E42" s="106">
        <v>45925</v>
      </c>
      <c r="F42" s="135" t="s">
        <v>176</v>
      </c>
      <c r="G42" s="190"/>
    </row>
    <row r="43" spans="5:7" x14ac:dyDescent="0.25">
      <c r="E43" s="106">
        <v>45910</v>
      </c>
      <c r="F43" s="135" t="s">
        <v>179</v>
      </c>
      <c r="G43" s="107">
        <v>266</v>
      </c>
    </row>
    <row r="44" spans="5:7" x14ac:dyDescent="0.25">
      <c r="E44" s="106">
        <v>45932</v>
      </c>
      <c r="F44" s="135" t="s">
        <v>183</v>
      </c>
      <c r="G44" s="107">
        <v>78.17</v>
      </c>
    </row>
    <row r="45" spans="5:7" x14ac:dyDescent="0.25">
      <c r="E45" s="106">
        <v>45953</v>
      </c>
      <c r="F45" s="135" t="s">
        <v>185</v>
      </c>
      <c r="G45" s="107">
        <v>500</v>
      </c>
    </row>
    <row r="46" spans="5:7" x14ac:dyDescent="0.25">
      <c r="E46" s="106">
        <v>45944</v>
      </c>
      <c r="F46" s="135" t="s">
        <v>187</v>
      </c>
      <c r="G46" s="107">
        <v>84</v>
      </c>
    </row>
    <row r="47" spans="5:7" x14ac:dyDescent="0.25">
      <c r="E47" s="191">
        <v>45966</v>
      </c>
      <c r="F47" s="135" t="s">
        <v>188</v>
      </c>
      <c r="G47" s="188">
        <v>590</v>
      </c>
    </row>
    <row r="48" spans="5:7" x14ac:dyDescent="0.25">
      <c r="E48" s="192"/>
      <c r="F48" s="135" t="s">
        <v>189</v>
      </c>
      <c r="G48" s="189"/>
    </row>
    <row r="49" spans="5:7" x14ac:dyDescent="0.25">
      <c r="E49" s="193"/>
      <c r="F49" s="135" t="s">
        <v>190</v>
      </c>
      <c r="G49" s="190"/>
    </row>
    <row r="50" spans="5:7" x14ac:dyDescent="0.25">
      <c r="E50" s="106">
        <v>45967</v>
      </c>
      <c r="F50" s="135" t="s">
        <v>191</v>
      </c>
      <c r="G50" s="107">
        <v>140</v>
      </c>
    </row>
    <row r="51" spans="5:7" x14ac:dyDescent="0.25">
      <c r="E51" s="106">
        <v>45981</v>
      </c>
      <c r="F51" s="135" t="s">
        <v>200</v>
      </c>
      <c r="G51" s="107">
        <v>25</v>
      </c>
    </row>
    <row r="52" spans="5:7" x14ac:dyDescent="0.25">
      <c r="E52" s="106">
        <v>45981</v>
      </c>
      <c r="F52" s="135" t="s">
        <v>201</v>
      </c>
      <c r="G52" s="107">
        <v>29.46</v>
      </c>
    </row>
    <row r="53" spans="5:7" x14ac:dyDescent="0.25">
      <c r="E53" s="106">
        <v>46006</v>
      </c>
      <c r="F53" s="135" t="s">
        <v>202</v>
      </c>
      <c r="G53" s="107">
        <v>140</v>
      </c>
    </row>
    <row r="54" spans="5:7" x14ac:dyDescent="0.25">
      <c r="E54" s="106">
        <v>46031</v>
      </c>
      <c r="F54" s="135" t="s">
        <v>155</v>
      </c>
      <c r="G54" s="188">
        <v>175</v>
      </c>
    </row>
    <row r="55" spans="5:7" x14ac:dyDescent="0.25">
      <c r="E55" s="106">
        <v>46031</v>
      </c>
      <c r="F55" s="135" t="s">
        <v>156</v>
      </c>
      <c r="G55" s="189"/>
    </row>
    <row r="56" spans="5:7" x14ac:dyDescent="0.25">
      <c r="E56" s="106">
        <v>46031</v>
      </c>
      <c r="F56" s="135" t="s">
        <v>88</v>
      </c>
      <c r="G56" s="190"/>
    </row>
    <row r="57" spans="5:7" x14ac:dyDescent="0.25">
      <c r="E57" s="106">
        <v>46031</v>
      </c>
      <c r="F57" s="135" t="s">
        <v>157</v>
      </c>
      <c r="G57" s="150">
        <v>0</v>
      </c>
    </row>
    <row r="58" spans="5:7" x14ac:dyDescent="0.25">
      <c r="E58" s="106">
        <v>46056</v>
      </c>
      <c r="F58" s="135" t="s">
        <v>364</v>
      </c>
      <c r="G58" s="151">
        <f>150+465</f>
        <v>615</v>
      </c>
    </row>
    <row r="59" spans="5:7" x14ac:dyDescent="0.25">
      <c r="E59" s="106">
        <v>46056</v>
      </c>
      <c r="F59" s="135" t="s">
        <v>191</v>
      </c>
      <c r="G59" s="151">
        <v>160</v>
      </c>
    </row>
    <row r="60" spans="5:7" x14ac:dyDescent="0.25">
      <c r="E60" s="106">
        <v>46056</v>
      </c>
      <c r="F60" s="135" t="s">
        <v>365</v>
      </c>
      <c r="G60" s="151">
        <v>90</v>
      </c>
    </row>
    <row r="61" spans="5:7" x14ac:dyDescent="0.25">
      <c r="E61" s="106">
        <v>46056</v>
      </c>
      <c r="F61" s="135" t="s">
        <v>366</v>
      </c>
      <c r="G61" s="151">
        <v>1100</v>
      </c>
    </row>
    <row r="62" spans="5:7" x14ac:dyDescent="0.25">
      <c r="E62" s="106">
        <v>46072</v>
      </c>
      <c r="F62" s="135" t="s">
        <v>176</v>
      </c>
      <c r="G62" s="151">
        <v>150</v>
      </c>
    </row>
    <row r="63" spans="5:7" x14ac:dyDescent="0.25">
      <c r="E63" s="106">
        <v>46072</v>
      </c>
      <c r="F63" s="135" t="s">
        <v>373</v>
      </c>
      <c r="G63" s="151">
        <v>210</v>
      </c>
    </row>
    <row r="64" spans="5:7" x14ac:dyDescent="0.25">
      <c r="E64" s="106">
        <v>46072</v>
      </c>
      <c r="F64" s="135" t="s">
        <v>374</v>
      </c>
      <c r="G64" s="151">
        <v>90</v>
      </c>
    </row>
    <row r="65" spans="5:7" x14ac:dyDescent="0.25">
      <c r="E65" s="106">
        <v>46072</v>
      </c>
      <c r="F65" s="135" t="s">
        <v>375</v>
      </c>
      <c r="G65" s="151">
        <v>240</v>
      </c>
    </row>
    <row r="66" spans="5:7" x14ac:dyDescent="0.25">
      <c r="E66" s="106">
        <v>46072</v>
      </c>
      <c r="F66" s="135" t="s">
        <v>376</v>
      </c>
      <c r="G66" s="151">
        <v>110</v>
      </c>
    </row>
    <row r="67" spans="5:7" x14ac:dyDescent="0.25">
      <c r="E67" s="106">
        <v>46085</v>
      </c>
      <c r="F67" s="135" t="s">
        <v>392</v>
      </c>
      <c r="G67" s="151">
        <v>80</v>
      </c>
    </row>
    <row r="68" spans="5:7" x14ac:dyDescent="0.25">
      <c r="E68" s="106">
        <v>46085</v>
      </c>
      <c r="F68" s="135" t="s">
        <v>393</v>
      </c>
      <c r="G68" s="151">
        <v>100</v>
      </c>
    </row>
    <row r="69" spans="5:7" x14ac:dyDescent="0.25">
      <c r="E69" s="106">
        <v>46094</v>
      </c>
      <c r="F69" s="135" t="s">
        <v>401</v>
      </c>
      <c r="G69" s="151">
        <v>80</v>
      </c>
    </row>
    <row r="70" spans="5:7" x14ac:dyDescent="0.25">
      <c r="E70" s="106">
        <v>46155</v>
      </c>
      <c r="F70" s="135" t="s">
        <v>423</v>
      </c>
      <c r="G70" s="151">
        <v>41.19</v>
      </c>
    </row>
    <row r="71" spans="5:7" x14ac:dyDescent="0.25">
      <c r="E71" s="106">
        <v>46155</v>
      </c>
      <c r="F71" s="135" t="s">
        <v>424</v>
      </c>
      <c r="G71" s="151">
        <v>135.02000000000001</v>
      </c>
    </row>
  </sheetData>
  <mergeCells count="5">
    <mergeCell ref="G54:G56"/>
    <mergeCell ref="G7:G13"/>
    <mergeCell ref="G41:G42"/>
    <mergeCell ref="E47:E49"/>
    <mergeCell ref="G47:G4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4CE0C-5218-44E6-A2F1-1EDA501168C8}">
  <sheetPr codeName="Planilha10">
    <tabColor rgb="FF002060"/>
  </sheetPr>
  <dimension ref="A2:U66"/>
  <sheetViews>
    <sheetView workbookViewId="0">
      <selection activeCell="L14" sqref="L14"/>
    </sheetView>
  </sheetViews>
  <sheetFormatPr defaultRowHeight="15" x14ac:dyDescent="0.25"/>
  <cols>
    <col min="1" max="1" width="6.5703125" style="105" customWidth="1"/>
    <col min="2" max="2" width="32.42578125" style="105" customWidth="1"/>
    <col min="3" max="3" width="15.140625" style="107" bestFit="1" customWidth="1"/>
    <col min="4" max="4" width="5.85546875" style="107" customWidth="1"/>
    <col min="5" max="5" width="6.7109375" style="194" customWidth="1"/>
    <col min="6" max="6" width="6.7109375" style="105" customWidth="1"/>
    <col min="7" max="7" width="33.140625" style="105" bestFit="1" customWidth="1"/>
    <col min="8" max="8" width="15.7109375" style="105" customWidth="1"/>
    <col min="9" max="9" width="6.7109375" style="105" customWidth="1"/>
    <col min="10" max="10" width="6" style="194" customWidth="1"/>
    <col min="11" max="11" width="6" style="105" customWidth="1"/>
    <col min="12" max="12" width="24.140625" style="105" customWidth="1"/>
    <col min="13" max="13" width="12.42578125" style="107" customWidth="1"/>
    <col min="14" max="14" width="2.42578125" style="107" customWidth="1"/>
    <col min="15" max="15" width="13.85546875" style="105" customWidth="1"/>
    <col min="16" max="16" width="5.85546875" style="194" customWidth="1"/>
    <col min="17" max="17" width="15.85546875" style="105" bestFit="1" customWidth="1"/>
    <col min="18" max="18" width="15.5703125" style="105" customWidth="1"/>
    <col min="19" max="19" width="11.42578125" style="105" bestFit="1" customWidth="1"/>
    <col min="20" max="20" width="13.5703125" style="105" bestFit="1" customWidth="1"/>
    <col min="21" max="21" width="10.5703125" style="105" bestFit="1" customWidth="1"/>
    <col min="22" max="22" width="13.85546875" style="105" customWidth="1"/>
    <col min="23" max="23" width="9.5703125" style="105" bestFit="1" customWidth="1"/>
    <col min="24" max="16384" width="9.140625" style="105"/>
  </cols>
  <sheetData>
    <row r="2" spans="4:15" x14ac:dyDescent="0.25">
      <c r="D2" s="134"/>
      <c r="G2" s="105" t="s">
        <v>113</v>
      </c>
      <c r="L2" s="105" t="s">
        <v>203</v>
      </c>
    </row>
    <row r="3" spans="4:15" x14ac:dyDescent="0.25">
      <c r="G3" s="105" t="s">
        <v>114</v>
      </c>
      <c r="H3" s="123">
        <v>0.3</v>
      </c>
      <c r="I3" s="123"/>
      <c r="L3" s="144" t="s">
        <v>216</v>
      </c>
      <c r="M3" s="107" t="s">
        <v>214</v>
      </c>
      <c r="O3" s="142" t="s">
        <v>204</v>
      </c>
    </row>
    <row r="4" spans="4:15" x14ac:dyDescent="0.25">
      <c r="G4" s="105" t="s">
        <v>115</v>
      </c>
      <c r="H4" s="123">
        <v>0.5</v>
      </c>
      <c r="I4" s="123"/>
      <c r="L4" s="144" t="s">
        <v>209</v>
      </c>
      <c r="M4" s="107" t="s">
        <v>214</v>
      </c>
      <c r="O4" s="143" t="s">
        <v>205</v>
      </c>
    </row>
    <row r="5" spans="4:15" x14ac:dyDescent="0.25">
      <c r="G5" s="105" t="s">
        <v>116</v>
      </c>
      <c r="H5" s="123">
        <v>0.2</v>
      </c>
      <c r="I5" s="123"/>
      <c r="L5" s="144" t="s">
        <v>210</v>
      </c>
      <c r="M5" s="107" t="s">
        <v>214</v>
      </c>
      <c r="O5" s="141" t="s">
        <v>206</v>
      </c>
    </row>
    <row r="6" spans="4:15" x14ac:dyDescent="0.25">
      <c r="G6" s="109" t="s">
        <v>117</v>
      </c>
      <c r="H6" s="129"/>
      <c r="I6" s="127"/>
      <c r="L6" s="144" t="s">
        <v>211</v>
      </c>
      <c r="M6" s="107" t="s">
        <v>213</v>
      </c>
      <c r="N6" s="105"/>
      <c r="O6" s="122"/>
    </row>
    <row r="7" spans="4:15" x14ac:dyDescent="0.25">
      <c r="G7" s="105" t="s">
        <v>114</v>
      </c>
      <c r="H7" s="127" t="e">
        <f>H12/H15</f>
        <v>#DIV/0!</v>
      </c>
      <c r="I7" s="127"/>
      <c r="L7" s="144" t="s">
        <v>212</v>
      </c>
      <c r="M7" s="107">
        <v>80</v>
      </c>
      <c r="N7" s="105"/>
      <c r="O7" s="122"/>
    </row>
    <row r="8" spans="4:15" x14ac:dyDescent="0.25">
      <c r="G8" s="105" t="s">
        <v>115</v>
      </c>
      <c r="H8" s="127" t="e">
        <f>H13/H15</f>
        <v>#DIV/0!</v>
      </c>
      <c r="I8" s="127"/>
      <c r="L8" s="145" t="s">
        <v>222</v>
      </c>
      <c r="M8" s="107" t="s">
        <v>213</v>
      </c>
    </row>
    <row r="9" spans="4:15" x14ac:dyDescent="0.25">
      <c r="G9" s="105" t="s">
        <v>116</v>
      </c>
      <c r="H9" s="127" t="e">
        <f>H14/H15</f>
        <v>#DIV/0!</v>
      </c>
      <c r="I9" s="127"/>
      <c r="L9" s="145" t="s">
        <v>223</v>
      </c>
      <c r="M9" s="107">
        <v>500</v>
      </c>
      <c r="N9" s="105"/>
    </row>
    <row r="10" spans="4:15" x14ac:dyDescent="0.25">
      <c r="G10" s="112" t="s">
        <v>89</v>
      </c>
      <c r="H10" s="128"/>
      <c r="I10" s="127"/>
      <c r="L10" s="145" t="s">
        <v>224</v>
      </c>
      <c r="M10" s="107" t="s">
        <v>225</v>
      </c>
    </row>
    <row r="11" spans="4:15" x14ac:dyDescent="0.25">
      <c r="G11" s="109" t="s">
        <v>118</v>
      </c>
      <c r="H11" s="109"/>
      <c r="L11" s="145" t="s">
        <v>207</v>
      </c>
      <c r="M11" s="107" t="s">
        <v>208</v>
      </c>
    </row>
    <row r="12" spans="4:15" x14ac:dyDescent="0.25">
      <c r="G12" s="105" t="s">
        <v>114</v>
      </c>
      <c r="H12" s="107">
        <f>INVESTIMENTO!AD38</f>
        <v>0</v>
      </c>
      <c r="I12" s="107"/>
    </row>
    <row r="13" spans="4:15" x14ac:dyDescent="0.25">
      <c r="G13" s="105" t="s">
        <v>115</v>
      </c>
      <c r="H13" s="107">
        <f>INVESTIMENTO!Y39</f>
        <v>0</v>
      </c>
      <c r="I13" s="107"/>
    </row>
    <row r="14" spans="4:15" x14ac:dyDescent="0.25">
      <c r="G14" s="105" t="s">
        <v>116</v>
      </c>
      <c r="H14" s="107">
        <f>INVESTIMENTO!V39</f>
        <v>0</v>
      </c>
      <c r="I14" s="107"/>
    </row>
    <row r="15" spans="4:15" x14ac:dyDescent="0.25">
      <c r="G15" s="112" t="s">
        <v>89</v>
      </c>
      <c r="H15" s="113">
        <f>SUM(H12:H14)</f>
        <v>0</v>
      </c>
      <c r="I15" s="107"/>
    </row>
    <row r="17" spans="3:21" x14ac:dyDescent="0.25">
      <c r="L17" s="105" t="s">
        <v>398</v>
      </c>
    </row>
    <row r="18" spans="3:21" x14ac:dyDescent="0.25">
      <c r="G18" s="105" t="s">
        <v>91</v>
      </c>
      <c r="H18" s="112"/>
    </row>
    <row r="19" spans="3:21" x14ac:dyDescent="0.25">
      <c r="G19" s="109" t="s">
        <v>95</v>
      </c>
      <c r="H19" s="107">
        <v>8100</v>
      </c>
    </row>
    <row r="20" spans="3:21" x14ac:dyDescent="0.25">
      <c r="G20" s="105" t="s">
        <v>92</v>
      </c>
      <c r="H20" s="107">
        <v>2000</v>
      </c>
    </row>
    <row r="21" spans="3:21" x14ac:dyDescent="0.25">
      <c r="G21" s="105" t="s">
        <v>93</v>
      </c>
      <c r="H21" s="107">
        <v>800</v>
      </c>
    </row>
    <row r="22" spans="3:21" x14ac:dyDescent="0.25">
      <c r="G22" s="105" t="s">
        <v>94</v>
      </c>
      <c r="H22" s="107">
        <v>1600</v>
      </c>
    </row>
    <row r="23" spans="3:21" x14ac:dyDescent="0.25">
      <c r="G23" s="109" t="s">
        <v>89</v>
      </c>
      <c r="H23" s="111">
        <f>SUM(H19:H22)</f>
        <v>12500</v>
      </c>
    </row>
    <row r="24" spans="3:21" x14ac:dyDescent="0.25">
      <c r="C24" s="105"/>
      <c r="Q24" s="106"/>
      <c r="S24" s="131"/>
      <c r="T24" s="107"/>
      <c r="U24" s="107"/>
    </row>
    <row r="25" spans="3:21" x14ac:dyDescent="0.25">
      <c r="C25" s="105"/>
      <c r="D25" s="105"/>
    </row>
    <row r="26" spans="3:21" x14ac:dyDescent="0.25">
      <c r="C26" s="105"/>
      <c r="D26" s="105"/>
    </row>
    <row r="27" spans="3:21" x14ac:dyDescent="0.25">
      <c r="D27" s="105"/>
      <c r="H27" s="105" t="s">
        <v>265</v>
      </c>
    </row>
    <row r="64" spans="3:3" x14ac:dyDescent="0.25">
      <c r="C64" s="105"/>
    </row>
    <row r="65" spans="1:4" x14ac:dyDescent="0.25">
      <c r="A65" s="106"/>
      <c r="C65" s="105"/>
      <c r="D65" s="105"/>
    </row>
    <row r="66" spans="1:4" x14ac:dyDescent="0.25">
      <c r="A66" s="106"/>
      <c r="D66" s="105"/>
    </row>
  </sheetData>
  <mergeCells count="3">
    <mergeCell ref="J1:J1048576"/>
    <mergeCell ref="E1:E1048576"/>
    <mergeCell ref="P1:P1048576"/>
  </mergeCells>
  <conditionalFormatting sqref="H9:I9">
    <cfRule type="cellIs" dxfId="5" priority="4" operator="between">
      <formula>15</formula>
      <formula>25</formula>
    </cfRule>
  </conditionalFormatting>
  <conditionalFormatting sqref="H7:I7">
    <cfRule type="cellIs" dxfId="4" priority="1" operator="between">
      <formula>25</formula>
      <formula>35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43A6-0A12-46ED-9C14-C9F4040C7F5A}">
  <dimension ref="A1:Q35"/>
  <sheetViews>
    <sheetView workbookViewId="0">
      <selection activeCell="F21" sqref="F21"/>
    </sheetView>
  </sheetViews>
  <sheetFormatPr defaultRowHeight="15" x14ac:dyDescent="0.25"/>
  <cols>
    <col min="1" max="1" width="21.85546875" bestFit="1" customWidth="1"/>
    <col min="2" max="2" width="16.140625" bestFit="1" customWidth="1"/>
    <col min="3" max="3" width="13.28515625" bestFit="1" customWidth="1"/>
    <col min="4" max="4" width="16.28515625" customWidth="1"/>
    <col min="5" max="5" width="13.28515625" bestFit="1" customWidth="1"/>
    <col min="6" max="6" width="23.85546875" bestFit="1" customWidth="1"/>
    <col min="7" max="7" width="122.42578125" customWidth="1"/>
    <col min="8" max="8" width="15.85546875" customWidth="1"/>
    <col min="9" max="9" width="12.85546875" customWidth="1"/>
    <col min="10" max="10" width="62.140625" customWidth="1"/>
    <col min="11" max="11" width="14" customWidth="1"/>
    <col min="12" max="12" width="12.28515625" customWidth="1"/>
    <col min="13" max="13" width="13.85546875" customWidth="1"/>
    <col min="14" max="14" width="16.7109375" customWidth="1"/>
    <col min="15" max="15" width="12.7109375" customWidth="1"/>
    <col min="16" max="16" width="20.85546875" customWidth="1"/>
    <col min="17" max="17" width="12.5703125" customWidth="1"/>
  </cols>
  <sheetData>
    <row r="1" spans="1:17" x14ac:dyDescent="0.25">
      <c r="H1" t="s">
        <v>277</v>
      </c>
      <c r="J1">
        <v>5.23</v>
      </c>
    </row>
    <row r="2" spans="1:17" x14ac:dyDescent="0.25">
      <c r="H2" t="s">
        <v>311</v>
      </c>
      <c r="L2" t="s">
        <v>343</v>
      </c>
      <c r="M2" t="s">
        <v>343</v>
      </c>
    </row>
    <row r="3" spans="1:17" x14ac:dyDescent="0.25">
      <c r="A3" t="s">
        <v>270</v>
      </c>
      <c r="B3" t="s">
        <v>275</v>
      </c>
      <c r="D3" t="s">
        <v>360</v>
      </c>
      <c r="E3" t="s">
        <v>79</v>
      </c>
      <c r="F3" t="s">
        <v>312</v>
      </c>
      <c r="H3" t="s">
        <v>309</v>
      </c>
      <c r="I3" t="s">
        <v>313</v>
      </c>
      <c r="J3" t="s">
        <v>276</v>
      </c>
      <c r="K3" t="s">
        <v>314</v>
      </c>
      <c r="L3" t="s">
        <v>315</v>
      </c>
      <c r="M3" t="s">
        <v>278</v>
      </c>
      <c r="N3" t="s">
        <v>316</v>
      </c>
      <c r="O3" t="s">
        <v>318</v>
      </c>
      <c r="P3" s="2" t="s">
        <v>290</v>
      </c>
      <c r="Q3" t="s">
        <v>317</v>
      </c>
    </row>
    <row r="4" spans="1:17" x14ac:dyDescent="0.25">
      <c r="A4" t="s">
        <v>271</v>
      </c>
      <c r="B4" s="1">
        <f>208+260.97+221.31+277.38</f>
        <v>967.66</v>
      </c>
      <c r="D4" t="s">
        <v>281</v>
      </c>
      <c r="E4" s="1">
        <v>2300</v>
      </c>
      <c r="F4" t="s">
        <v>294</v>
      </c>
      <c r="I4" t="s">
        <v>282</v>
      </c>
      <c r="J4" t="s">
        <v>306</v>
      </c>
      <c r="K4" s="1">
        <v>585</v>
      </c>
      <c r="L4" s="96">
        <f>K4/J1</f>
        <v>111.85468451242829</v>
      </c>
      <c r="M4">
        <v>90</v>
      </c>
      <c r="N4" s="1">
        <f>M4*J1</f>
        <v>470.70000000000005</v>
      </c>
      <c r="O4" s="1">
        <f>N4/100*120</f>
        <v>564.84000000000015</v>
      </c>
      <c r="P4" s="1">
        <f>Tabela18[[#This Row],[Valor ML]]-Tabela18[[#This Row],[Preço final]]</f>
        <v>20.159999999999854</v>
      </c>
      <c r="Q4" s="1">
        <f>Tabela18[[#This Row],[Preço final]]-Tabela18[[#This Row],[Paraguai &gt; Real]]</f>
        <v>94.1400000000001</v>
      </c>
    </row>
    <row r="5" spans="1:17" x14ac:dyDescent="0.25">
      <c r="A5" t="s">
        <v>272</v>
      </c>
      <c r="B5">
        <v>244.22</v>
      </c>
      <c r="D5" t="s">
        <v>298</v>
      </c>
      <c r="E5" s="1">
        <v>2000</v>
      </c>
      <c r="F5" t="s">
        <v>294</v>
      </c>
      <c r="H5" t="s">
        <v>310</v>
      </c>
      <c r="I5" t="s">
        <v>282</v>
      </c>
      <c r="J5" t="s">
        <v>307</v>
      </c>
      <c r="N5" s="1"/>
      <c r="Q5" s="1">
        <f>Tabela18[[#This Row],[Preço final]]-Tabela18[[#This Row],[Paraguai &gt; Real]]</f>
        <v>0</v>
      </c>
    </row>
    <row r="6" spans="1:17" x14ac:dyDescent="0.25">
      <c r="A6" t="s">
        <v>273</v>
      </c>
      <c r="B6" s="1">
        <v>300</v>
      </c>
      <c r="D6" t="s">
        <v>139</v>
      </c>
      <c r="E6" s="1">
        <v>5310.89</v>
      </c>
      <c r="F6" t="s">
        <v>295</v>
      </c>
      <c r="I6" t="s">
        <v>282</v>
      </c>
      <c r="J6" t="s">
        <v>326</v>
      </c>
      <c r="N6" s="1"/>
    </row>
    <row r="7" spans="1:17" x14ac:dyDescent="0.25">
      <c r="A7" t="s">
        <v>357</v>
      </c>
      <c r="B7" s="1">
        <f>156+88</f>
        <v>244</v>
      </c>
      <c r="D7" t="s">
        <v>293</v>
      </c>
      <c r="E7" s="1">
        <v>6000</v>
      </c>
      <c r="F7" t="s">
        <v>292</v>
      </c>
      <c r="I7" t="s">
        <v>282</v>
      </c>
      <c r="J7" t="s">
        <v>330</v>
      </c>
      <c r="N7" s="1"/>
    </row>
    <row r="8" spans="1:17" x14ac:dyDescent="0.25">
      <c r="A8" t="s">
        <v>358</v>
      </c>
      <c r="B8" s="1">
        <v>34.049999999999997</v>
      </c>
      <c r="D8" t="s">
        <v>6</v>
      </c>
      <c r="E8" s="1">
        <f>SUM(E4:E7)</f>
        <v>15610.89</v>
      </c>
      <c r="H8" t="s">
        <v>325</v>
      </c>
      <c r="I8" t="s">
        <v>282</v>
      </c>
      <c r="J8" t="s">
        <v>324</v>
      </c>
      <c r="K8" s="1">
        <v>1575.9</v>
      </c>
      <c r="L8" s="96">
        <f>Tabela18[[#This Row],[Valor ML]]/J1</f>
        <v>301.31931166347994</v>
      </c>
      <c r="M8">
        <v>186.3</v>
      </c>
      <c r="N8" s="1">
        <f>Tabela18[[#This Row],[No Paraguai]]*J1</f>
        <v>974.34900000000016</v>
      </c>
      <c r="O8" s="1">
        <f>Tabela18[[#This Row],[Paraguai &gt; Real]]/100*120</f>
        <v>1169.2188000000001</v>
      </c>
      <c r="P8" s="1">
        <f>Tabela18[[#This Row],[Valor ML]]-Tabela18[[#This Row],[Preço final]]</f>
        <v>406.68119999999999</v>
      </c>
      <c r="Q8" s="1">
        <f>Tabela18[[#This Row],[Preço final]]-Tabela18[[#This Row],[Paraguai &gt; Real]]</f>
        <v>194.86979999999994</v>
      </c>
    </row>
    <row r="9" spans="1:17" x14ac:dyDescent="0.25">
      <c r="A9" t="s">
        <v>274</v>
      </c>
      <c r="B9" s="1">
        <f>67+68.98+11.98+222</f>
        <v>369.96000000000004</v>
      </c>
      <c r="I9" t="s">
        <v>283</v>
      </c>
      <c r="J9" t="s">
        <v>279</v>
      </c>
      <c r="K9" s="1">
        <v>900</v>
      </c>
      <c r="L9" s="96">
        <f>K9/J1</f>
        <v>172.08413001912044</v>
      </c>
      <c r="N9" s="1">
        <v>256</v>
      </c>
      <c r="O9" s="1">
        <f>Tabela18[[#This Row],[Paraguai &gt; Real]]/100*120</f>
        <v>307.2</v>
      </c>
      <c r="P9" s="1">
        <f>Tabela18[[#This Row],[Valor ML]]-Tabela18[[#This Row],[Preço final]]</f>
        <v>592.79999999999995</v>
      </c>
      <c r="Q9" s="1">
        <f>Tabela18[[#This Row],[Preço final]]-Tabela18[[#This Row],[Paraguai &gt; Real]]</f>
        <v>51.199999999999989</v>
      </c>
    </row>
    <row r="10" spans="1:17" x14ac:dyDescent="0.25">
      <c r="A10" t="s">
        <v>89</v>
      </c>
      <c r="B10" s="1">
        <f>SUM(B4:B9)</f>
        <v>2159.89</v>
      </c>
      <c r="D10" t="s">
        <v>348</v>
      </c>
      <c r="E10" t="s">
        <v>79</v>
      </c>
      <c r="F10" t="s">
        <v>349</v>
      </c>
      <c r="I10" t="s">
        <v>283</v>
      </c>
      <c r="J10" t="s">
        <v>280</v>
      </c>
      <c r="K10" s="1">
        <v>539.9</v>
      </c>
      <c r="L10" s="96">
        <f>K10/J1</f>
        <v>103.23135755258124</v>
      </c>
      <c r="N10" s="1"/>
      <c r="O10" s="1"/>
      <c r="P10" s="1"/>
      <c r="Q10" s="1"/>
    </row>
    <row r="11" spans="1:17" x14ac:dyDescent="0.25">
      <c r="B11" s="1"/>
      <c r="D11" s="158" t="s">
        <v>281</v>
      </c>
      <c r="E11" s="162">
        <v>2300</v>
      </c>
      <c r="F11" s="157" t="s">
        <v>294</v>
      </c>
      <c r="I11" t="s">
        <v>283</v>
      </c>
      <c r="J11" t="s">
        <v>345</v>
      </c>
      <c r="K11" s="1">
        <v>1000</v>
      </c>
      <c r="L11" s="96">
        <f>K11/J1</f>
        <v>191.20458891013382</v>
      </c>
      <c r="M11">
        <v>143</v>
      </c>
      <c r="N11" s="1">
        <v>753</v>
      </c>
      <c r="O11" s="1">
        <f>Tabela18[[#This Row],[Paraguai &gt; Real]]/100*120</f>
        <v>903.6</v>
      </c>
      <c r="P11" s="1">
        <f>Tabela18[[#This Row],[Valor ML]]-Tabela18[[#This Row],[Preço final]]</f>
        <v>96.399999999999977</v>
      </c>
      <c r="Q11" s="1">
        <f>Tabela18[[#This Row],[Preço final]]-Tabela18[[#This Row],[Paraguai &gt; Real]]</f>
        <v>150.60000000000002</v>
      </c>
    </row>
    <row r="12" spans="1:17" x14ac:dyDescent="0.25">
      <c r="B12" s="1"/>
      <c r="D12" s="156" t="s">
        <v>298</v>
      </c>
      <c r="E12" s="164">
        <v>2000</v>
      </c>
      <c r="F12" s="155" t="s">
        <v>294</v>
      </c>
      <c r="I12" t="s">
        <v>303</v>
      </c>
      <c r="J12" t="s">
        <v>304</v>
      </c>
      <c r="K12" s="1">
        <v>2400</v>
      </c>
      <c r="L12" s="96">
        <f>K12/J1</f>
        <v>458.89101338432118</v>
      </c>
      <c r="M12">
        <v>150</v>
      </c>
      <c r="N12" s="1">
        <v>787.5</v>
      </c>
      <c r="O12" s="1">
        <f>N12/100*120</f>
        <v>945</v>
      </c>
      <c r="P12" s="1">
        <f>Tabela18[[#This Row],[Valor ML]]-Tabela18[[#This Row],[Preço final]]</f>
        <v>1455</v>
      </c>
      <c r="Q12" s="1">
        <f>Tabela18[[#This Row],[Preço final]]-Tabela18[[#This Row],[Paraguai &gt; Real]]</f>
        <v>157.5</v>
      </c>
    </row>
    <row r="13" spans="1:17" x14ac:dyDescent="0.25">
      <c r="D13" s="158" t="s">
        <v>139</v>
      </c>
      <c r="E13" s="162">
        <v>5310.89</v>
      </c>
      <c r="F13" s="157" t="s">
        <v>295</v>
      </c>
      <c r="H13" t="s">
        <v>342</v>
      </c>
      <c r="I13" t="s">
        <v>305</v>
      </c>
      <c r="J13" t="s">
        <v>291</v>
      </c>
      <c r="K13" s="1">
        <v>4749</v>
      </c>
      <c r="L13" s="96">
        <f>K13/J1</f>
        <v>908.03059273422559</v>
      </c>
      <c r="M13">
        <v>625</v>
      </c>
      <c r="N13" s="1">
        <f>M13*J1</f>
        <v>3268.7500000000005</v>
      </c>
      <c r="O13" s="1"/>
      <c r="P13" s="1"/>
      <c r="Q13" s="1"/>
    </row>
    <row r="14" spans="1:17" x14ac:dyDescent="0.25">
      <c r="D14" s="156" t="s">
        <v>293</v>
      </c>
      <c r="E14" s="160">
        <f>700+895.19+700+350</f>
        <v>2645.19</v>
      </c>
      <c r="F14" s="155" t="s">
        <v>292</v>
      </c>
      <c r="H14" t="s">
        <v>342</v>
      </c>
      <c r="I14" t="s">
        <v>305</v>
      </c>
      <c r="J14" t="s">
        <v>340</v>
      </c>
      <c r="K14" s="1"/>
      <c r="L14" s="96"/>
      <c r="M14">
        <v>70</v>
      </c>
      <c r="N14" s="1">
        <v>367.5</v>
      </c>
      <c r="O14" s="1"/>
      <c r="P14" s="1"/>
      <c r="Q14" s="1"/>
    </row>
    <row r="15" spans="1:17" x14ac:dyDescent="0.25">
      <c r="D15" s="158" t="s">
        <v>6</v>
      </c>
      <c r="E15" s="159">
        <f>SUM(E11:E14)</f>
        <v>12256.08</v>
      </c>
      <c r="H15" t="s">
        <v>341</v>
      </c>
      <c r="I15" t="s">
        <v>305</v>
      </c>
      <c r="J15" t="s">
        <v>339</v>
      </c>
      <c r="K15" s="1">
        <v>2600</v>
      </c>
      <c r="L15" s="96">
        <f>K15/J1</f>
        <v>497.13193116634795</v>
      </c>
      <c r="M15">
        <v>150</v>
      </c>
      <c r="N15" s="1">
        <v>787.5</v>
      </c>
      <c r="O15" s="1"/>
      <c r="P15" s="1"/>
      <c r="Q15" s="1"/>
    </row>
    <row r="16" spans="1:17" x14ac:dyDescent="0.25">
      <c r="D16" s="161" t="s">
        <v>356</v>
      </c>
      <c r="E16" s="1">
        <f>E8-E15</f>
        <v>3354.8099999999995</v>
      </c>
      <c r="I16" t="s">
        <v>327</v>
      </c>
      <c r="J16" t="s">
        <v>328</v>
      </c>
      <c r="K16" s="1">
        <v>285</v>
      </c>
      <c r="L16" s="96">
        <f>Tabela18[[#This Row],[Valor ML]]/J1</f>
        <v>54.493307839388137</v>
      </c>
      <c r="M16">
        <v>30.5</v>
      </c>
      <c r="N16" s="1">
        <v>160.43</v>
      </c>
      <c r="O16" s="1">
        <f>N16/100*120</f>
        <v>192.51600000000002</v>
      </c>
      <c r="P16" s="1">
        <f>Tabela18[[#This Row],[Valor ML]]-Tabela18[[#This Row],[Preço final]]</f>
        <v>92.48399999999998</v>
      </c>
      <c r="Q16" s="1">
        <f>Tabela18[[#This Row],[Preço final]]-Tabela18[[#This Row],[Paraguai &gt; Real]]</f>
        <v>32.086000000000013</v>
      </c>
    </row>
    <row r="17" spans="1:17" x14ac:dyDescent="0.25">
      <c r="I17" t="s">
        <v>327</v>
      </c>
      <c r="J17" t="s">
        <v>329</v>
      </c>
      <c r="K17" s="1">
        <v>190</v>
      </c>
      <c r="L17" s="96">
        <f>Tabela18[[#This Row],[Valor ML]]/J1</f>
        <v>36.328871892925427</v>
      </c>
      <c r="M17">
        <v>15.75</v>
      </c>
      <c r="N17" s="1">
        <v>82.84</v>
      </c>
      <c r="O17" s="1">
        <f>N17/100*120</f>
        <v>99.408000000000001</v>
      </c>
      <c r="P17" s="1">
        <f>Tabela18[[#This Row],[Valor ML]]-Tabela18[[#This Row],[Preço final]]</f>
        <v>90.591999999999999</v>
      </c>
      <c r="Q17" s="1">
        <f>Tabela18[[#This Row],[Preço final]]-Tabela18[[#This Row],[Paraguai &gt; Real]]</f>
        <v>16.567999999999998</v>
      </c>
    </row>
    <row r="18" spans="1:17" x14ac:dyDescent="0.25">
      <c r="I18" t="s">
        <v>334</v>
      </c>
      <c r="J18" t="s">
        <v>335</v>
      </c>
      <c r="K18" s="1">
        <v>3999</v>
      </c>
      <c r="L18" s="96">
        <f>Tabela18[[#This Row],[Valor ML]]/J1</f>
        <v>764.62715105162522</v>
      </c>
      <c r="M18">
        <v>355</v>
      </c>
      <c r="N18" s="1">
        <v>1867.3</v>
      </c>
      <c r="O18" s="1">
        <f>N18/100*110</f>
        <v>2054.0299999999997</v>
      </c>
      <c r="P18" s="1">
        <f>Tabela18[[#This Row],[Valor ML]]-Tabela18[[#This Row],[Preço final]]</f>
        <v>1944.9700000000003</v>
      </c>
      <c r="Q18" s="1">
        <f>Tabela18[[#This Row],[Preço final]]-Tabela18[[#This Row],[Paraguai &gt; Real]]</f>
        <v>186.72999999999979</v>
      </c>
    </row>
    <row r="19" spans="1:17" x14ac:dyDescent="0.25">
      <c r="D19" t="s">
        <v>350</v>
      </c>
      <c r="E19" s="162">
        <v>2739.1869999999999</v>
      </c>
      <c r="I19" t="s">
        <v>334</v>
      </c>
      <c r="J19" t="s">
        <v>336</v>
      </c>
      <c r="K19" s="1">
        <v>845.8</v>
      </c>
      <c r="L19" s="96">
        <f>Tabela18[[#This Row],[Valor ML]]/J1</f>
        <v>161.72084130019118</v>
      </c>
      <c r="M19">
        <v>51</v>
      </c>
      <c r="N19" s="1">
        <v>268.26</v>
      </c>
      <c r="O19" s="1">
        <f>N19/100*120</f>
        <v>321.91199999999998</v>
      </c>
      <c r="P19" s="1">
        <f>Tabela18[[#This Row],[Valor ML]]-Tabela18[[#This Row],[Preço final]]</f>
        <v>523.88799999999992</v>
      </c>
      <c r="Q19" s="1">
        <f>Tabela18[[#This Row],[Preço final]]-Tabela18[[#This Row],[Paraguai &gt; Real]]</f>
        <v>53.651999999999987</v>
      </c>
    </row>
    <row r="20" spans="1:17" x14ac:dyDescent="0.25">
      <c r="A20" t="s">
        <v>362</v>
      </c>
      <c r="D20" t="s">
        <v>351</v>
      </c>
      <c r="E20" s="162">
        <v>1196</v>
      </c>
      <c r="I20" t="s">
        <v>334</v>
      </c>
      <c r="J20" t="s">
        <v>333</v>
      </c>
      <c r="K20" s="1">
        <v>629</v>
      </c>
      <c r="L20" s="96">
        <f>Tabela18[[#This Row],[Valor ML]]/J1</f>
        <v>120.26768642447418</v>
      </c>
      <c r="M20">
        <v>61</v>
      </c>
      <c r="N20" s="1">
        <v>320.86</v>
      </c>
      <c r="O20" s="1">
        <f>N20/100*120</f>
        <v>385.03200000000004</v>
      </c>
      <c r="P20" s="1">
        <f>Tabela18[[#This Row],[Valor ML]]-Tabela18[[#This Row],[Preço final]]</f>
        <v>243.96799999999996</v>
      </c>
      <c r="Q20" s="1">
        <f>Tabela18[[#This Row],[Preço final]]-Tabela18[[#This Row],[Paraguai &gt; Real]]</f>
        <v>64.172000000000025</v>
      </c>
    </row>
    <row r="21" spans="1:17" ht="15" customHeight="1" x14ac:dyDescent="0.25">
      <c r="A21" s="195" t="s">
        <v>409</v>
      </c>
      <c r="D21" t="s">
        <v>353</v>
      </c>
      <c r="E21" s="1"/>
      <c r="H21" t="s">
        <v>325</v>
      </c>
      <c r="I21" t="s">
        <v>337</v>
      </c>
      <c r="J21" t="s">
        <v>338</v>
      </c>
      <c r="K21" s="1">
        <v>3431</v>
      </c>
      <c r="L21" s="96">
        <f>Tabela18[[#This Row],[Valor ML]]/J1</f>
        <v>656.02294455066919</v>
      </c>
      <c r="M21">
        <v>475</v>
      </c>
      <c r="N21" s="1">
        <v>2493.75</v>
      </c>
      <c r="O21" s="1">
        <f>N21/100*120</f>
        <v>2992.5</v>
      </c>
      <c r="P21" s="1">
        <f>Tabela18[[#This Row],[Valor ML]]-Tabela18[[#This Row],[Preço final]]</f>
        <v>438.5</v>
      </c>
      <c r="Q21" s="1">
        <f>Tabela18[[#This Row],[Preço final]]-Tabela18[[#This Row],[Paraguai &gt; Real]]</f>
        <v>498.75</v>
      </c>
    </row>
    <row r="22" spans="1:17" x14ac:dyDescent="0.25">
      <c r="A22" s="195"/>
      <c r="D22" t="s">
        <v>354</v>
      </c>
      <c r="E22" s="1">
        <v>3499</v>
      </c>
      <c r="H22" t="s">
        <v>89</v>
      </c>
      <c r="M22">
        <f>SUM(M4:M20)</f>
        <v>1927.55</v>
      </c>
      <c r="N22" s="1">
        <f>SUM(N4:N20)</f>
        <v>10364.989000000001</v>
      </c>
      <c r="P22" s="1">
        <f>SUM(P4:P20)</f>
        <v>5466.9431999999997</v>
      </c>
      <c r="Q22" s="1">
        <f>SUM(Q4:Q20)</f>
        <v>1001.5177999999999</v>
      </c>
    </row>
    <row r="23" spans="1:17" x14ac:dyDescent="0.25">
      <c r="A23" s="195"/>
      <c r="D23" t="s">
        <v>355</v>
      </c>
      <c r="E23" s="1">
        <f>2800-350-700-700-350</f>
        <v>700</v>
      </c>
      <c r="I23" t="s">
        <v>305</v>
      </c>
      <c r="J23" t="s">
        <v>287</v>
      </c>
      <c r="K23" s="1">
        <v>500</v>
      </c>
      <c r="L23" s="96">
        <f>K23/J1</f>
        <v>95.602294455066911</v>
      </c>
    </row>
    <row r="24" spans="1:17" x14ac:dyDescent="0.25">
      <c r="A24" s="195"/>
      <c r="D24" t="s">
        <v>347</v>
      </c>
      <c r="E24" s="162">
        <v>5110</v>
      </c>
      <c r="I24" t="s">
        <v>305</v>
      </c>
      <c r="J24" t="s">
        <v>308</v>
      </c>
      <c r="K24" s="1">
        <v>1200</v>
      </c>
      <c r="L24" s="96">
        <f>K24/J1</f>
        <v>229.44550669216059</v>
      </c>
    </row>
    <row r="25" spans="1:17" x14ac:dyDescent="0.25">
      <c r="A25" s="195"/>
      <c r="D25" t="s">
        <v>363</v>
      </c>
      <c r="E25" s="162">
        <f>90+450-29+909.44</f>
        <v>1420.44</v>
      </c>
      <c r="I25" t="s">
        <v>305</v>
      </c>
      <c r="J25" t="s">
        <v>344</v>
      </c>
      <c r="K25" s="1">
        <v>785</v>
      </c>
      <c r="N25">
        <v>588</v>
      </c>
    </row>
    <row r="26" spans="1:17" x14ac:dyDescent="0.25">
      <c r="A26" s="195"/>
      <c r="I26" t="s">
        <v>305</v>
      </c>
      <c r="J26" t="s">
        <v>335</v>
      </c>
      <c r="K26" s="1">
        <v>3999</v>
      </c>
      <c r="L26">
        <v>764</v>
      </c>
    </row>
    <row r="27" spans="1:17" x14ac:dyDescent="0.25">
      <c r="A27" s="195"/>
      <c r="D27" t="s">
        <v>352</v>
      </c>
      <c r="E27" s="1">
        <f>SUM(E21:E23)</f>
        <v>4199</v>
      </c>
      <c r="J27" t="s">
        <v>284</v>
      </c>
    </row>
    <row r="28" spans="1:17" x14ac:dyDescent="0.25">
      <c r="A28" s="195"/>
      <c r="J28" t="s">
        <v>288</v>
      </c>
    </row>
    <row r="29" spans="1:17" x14ac:dyDescent="0.25">
      <c r="A29" s="195"/>
      <c r="D29" t="s">
        <v>361</v>
      </c>
      <c r="E29" s="1">
        <f>(E15+E27)-E8</f>
        <v>844.19000000000233</v>
      </c>
      <c r="J29" t="s">
        <v>289</v>
      </c>
    </row>
    <row r="30" spans="1:17" x14ac:dyDescent="0.25">
      <c r="A30" s="195"/>
      <c r="J30" t="s">
        <v>285</v>
      </c>
    </row>
    <row r="31" spans="1:17" x14ac:dyDescent="0.25">
      <c r="A31" s="195"/>
      <c r="G31" s="163"/>
      <c r="J31" t="s">
        <v>286</v>
      </c>
    </row>
    <row r="32" spans="1:17" x14ac:dyDescent="0.25">
      <c r="E32" s="1"/>
      <c r="N32" s="1"/>
    </row>
    <row r="33" spans="4:5" x14ac:dyDescent="0.25">
      <c r="E33" s="1"/>
    </row>
    <row r="34" spans="4:5" x14ac:dyDescent="0.25">
      <c r="E34" s="1"/>
    </row>
    <row r="35" spans="4:5" x14ac:dyDescent="0.25">
      <c r="D35" s="1"/>
      <c r="E35" s="1"/>
    </row>
  </sheetData>
  <mergeCells count="1">
    <mergeCell ref="A21:A31"/>
  </mergeCells>
  <hyperlinks>
    <hyperlink ref="J17" r:id="rId1" display="https://www.comprasparaguai.com.br/fone-de-ouvido-qcy-arcbuds-bluetooth_46687/" xr:uid="{C6A0AF72-10DC-4DC2-BA7A-6BE11ADC023C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  <tableParts count="4"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597DB1-28FB-4F45-8797-DE08F07D5D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INÍCIO</vt:lpstr>
      <vt:lpstr>MP</vt:lpstr>
      <vt:lpstr>ITAÚ</vt:lpstr>
      <vt:lpstr>ENTRADAS</vt:lpstr>
      <vt:lpstr>SAÍDA</vt:lpstr>
      <vt:lpstr>INVESTIMENTO</vt:lpstr>
      <vt:lpstr>Contas Casa</vt:lpstr>
      <vt:lpstr>DEVEM</vt:lpstr>
      <vt:lpstr>DEVO</vt:lpstr>
      <vt:lpstr>Focus</vt:lpstr>
      <vt:lpstr>ANOTAÇÕES</vt:lpstr>
      <vt:lpstr>Paraguai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escobar</dc:creator>
  <cp:lastModifiedBy>Rodrigo Escobar</cp:lastModifiedBy>
  <dcterms:created xsi:type="dcterms:W3CDTF">2022-07-26T22:57:29Z</dcterms:created>
  <dcterms:modified xsi:type="dcterms:W3CDTF">2026-06-20T17:31:41Z</dcterms:modified>
</cp:coreProperties>
</file>